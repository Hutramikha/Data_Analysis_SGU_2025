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D78B1762-3493-4711-A560-E9C40D0E0120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LR" sheetId="1" r:id="rId1"/>
    <sheet name="LR-log-likeihoods" sheetId="2" r:id="rId2"/>
    <sheet name="LR-log-loss" sheetId="3" r:id="rId3"/>
  </sheets>
  <definedNames>
    <definedName name="Heart_disease_processed_cleveland___Copy" localSheetId="1">'LR-log-likeihoods'!$A$6:$N$302</definedName>
    <definedName name="solver_adj" localSheetId="0" hidden="1">LR!#REF!</definedName>
    <definedName name="solver_adj" localSheetId="1" hidden="1">'LR-log-likeihoods'!$A$2:$M$2,'LR-log-likeihoods'!$N$2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LR!#REF!</definedName>
    <definedName name="solver_opt" localSheetId="1" hidden="1">'LR-log-likeihoods'!$T$1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3" l="1"/>
  <c r="R3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6" i="3"/>
  <c r="B3" i="3"/>
  <c r="C3" i="3"/>
  <c r="D3" i="3"/>
  <c r="E3" i="3"/>
  <c r="F3" i="3"/>
  <c r="G3" i="3"/>
  <c r="H3" i="3"/>
  <c r="I3" i="3"/>
  <c r="J3" i="3"/>
  <c r="K3" i="3"/>
  <c r="L3" i="3"/>
  <c r="M3" i="3"/>
  <c r="N3" i="3"/>
  <c r="A3" i="3"/>
  <c r="O141" i="2" l="1"/>
  <c r="P141" i="2" s="1"/>
  <c r="S141" i="2" s="1"/>
  <c r="T141" i="2" s="1"/>
  <c r="O285" i="2"/>
  <c r="P285" i="2" s="1"/>
  <c r="O62" i="2"/>
  <c r="P62" i="2" s="1"/>
  <c r="Q62" i="2" s="1"/>
  <c r="R62" i="2" s="1"/>
  <c r="O142" i="2"/>
  <c r="P142" i="2" s="1"/>
  <c r="O286" i="2"/>
  <c r="P286" i="2" s="1"/>
  <c r="O13" i="2"/>
  <c r="P13" i="2" s="1"/>
  <c r="O157" i="2"/>
  <c r="P157" i="2" s="1"/>
  <c r="O301" i="2"/>
  <c r="P301" i="2" s="1"/>
  <c r="O110" i="2"/>
  <c r="P110" i="2" s="1"/>
  <c r="O14" i="2"/>
  <c r="P14" i="2" s="1"/>
  <c r="O158" i="2"/>
  <c r="P158" i="2" s="1"/>
  <c r="S158" i="2" s="1"/>
  <c r="T158" i="2" s="1"/>
  <c r="O302" i="2"/>
  <c r="P302" i="2" s="1"/>
  <c r="O126" i="2"/>
  <c r="P126" i="2" s="1"/>
  <c r="Q126" i="2" s="1"/>
  <c r="R126" i="2" s="1"/>
  <c r="O29" i="2"/>
  <c r="P29" i="2" s="1"/>
  <c r="S29" i="2" s="1"/>
  <c r="T29" i="2" s="1"/>
  <c r="O173" i="2"/>
  <c r="P173" i="2" s="1"/>
  <c r="Q173" i="2" s="1"/>
  <c r="R173" i="2" s="1"/>
  <c r="O269" i="2"/>
  <c r="P269" i="2" s="1"/>
  <c r="S269" i="2" s="1"/>
  <c r="T269" i="2" s="1"/>
  <c r="O30" i="2"/>
  <c r="P30" i="2" s="1"/>
  <c r="Q30" i="2" s="1"/>
  <c r="R30" i="2" s="1"/>
  <c r="O174" i="2"/>
  <c r="P174" i="2" s="1"/>
  <c r="O125" i="2"/>
  <c r="P125" i="2" s="1"/>
  <c r="S125" i="2" s="1"/>
  <c r="T125" i="2" s="1"/>
  <c r="O45" i="2"/>
  <c r="P45" i="2" s="1"/>
  <c r="O189" i="2"/>
  <c r="P189" i="2" s="1"/>
  <c r="O254" i="2"/>
  <c r="P254" i="2" s="1"/>
  <c r="Q254" i="2" s="1"/>
  <c r="R254" i="2" s="1"/>
  <c r="O270" i="2"/>
  <c r="P270" i="2" s="1"/>
  <c r="O46" i="2"/>
  <c r="P46" i="2" s="1"/>
  <c r="O205" i="2"/>
  <c r="P205" i="2" s="1"/>
  <c r="O253" i="2"/>
  <c r="P253" i="2" s="1"/>
  <c r="S253" i="2" s="1"/>
  <c r="T253" i="2" s="1"/>
  <c r="O61" i="2"/>
  <c r="P61" i="2" s="1"/>
  <c r="Q61" i="2" s="1"/>
  <c r="R61" i="2" s="1"/>
  <c r="O206" i="2"/>
  <c r="P206" i="2" s="1"/>
  <c r="S206" i="2" s="1"/>
  <c r="T206" i="2" s="1"/>
  <c r="O77" i="2"/>
  <c r="P77" i="2" s="1"/>
  <c r="S77" i="2" s="1"/>
  <c r="T77" i="2" s="1"/>
  <c r="O222" i="2"/>
  <c r="P222" i="2" s="1"/>
  <c r="S222" i="2" s="1"/>
  <c r="T222" i="2" s="1"/>
  <c r="O78" i="2"/>
  <c r="P78" i="2" s="1"/>
  <c r="Q78" i="2" s="1"/>
  <c r="R78" i="2" s="1"/>
  <c r="O237" i="2"/>
  <c r="P237" i="2" s="1"/>
  <c r="S237" i="2" s="1"/>
  <c r="T237" i="2" s="1"/>
  <c r="O94" i="2"/>
  <c r="P94" i="2" s="1"/>
  <c r="Q94" i="2" s="1"/>
  <c r="R94" i="2" s="1"/>
  <c r="O238" i="2"/>
  <c r="P238" i="2" s="1"/>
  <c r="O109" i="2"/>
  <c r="P109" i="2" s="1"/>
  <c r="S109" i="2" s="1"/>
  <c r="T109" i="2" s="1"/>
  <c r="S62" i="2"/>
  <c r="T62" i="2" s="1"/>
  <c r="Q286" i="2"/>
  <c r="R286" i="2" s="1"/>
  <c r="S286" i="2"/>
  <c r="T286" i="2" s="1"/>
  <c r="S13" i="2"/>
  <c r="T13" i="2" s="1"/>
  <c r="Q13" i="2"/>
  <c r="R13" i="2" s="1"/>
  <c r="S157" i="2"/>
  <c r="T157" i="2" s="1"/>
  <c r="Q157" i="2"/>
  <c r="R157" i="2" s="1"/>
  <c r="S126" i="2"/>
  <c r="T126" i="2" s="1"/>
  <c r="S285" i="2"/>
  <c r="T285" i="2" s="1"/>
  <c r="Q285" i="2"/>
  <c r="R285" i="2" s="1"/>
  <c r="S301" i="2"/>
  <c r="T301" i="2" s="1"/>
  <c r="Q301" i="2"/>
  <c r="R301" i="2" s="1"/>
  <c r="Q142" i="2"/>
  <c r="R142" i="2" s="1"/>
  <c r="S142" i="2"/>
  <c r="T142" i="2" s="1"/>
  <c r="Q110" i="2"/>
  <c r="R110" i="2" s="1"/>
  <c r="S110" i="2"/>
  <c r="T110" i="2" s="1"/>
  <c r="S45" i="2"/>
  <c r="T45" i="2" s="1"/>
  <c r="Q45" i="2"/>
  <c r="R45" i="2" s="1"/>
  <c r="S254" i="2"/>
  <c r="T254" i="2" s="1"/>
  <c r="S238" i="2"/>
  <c r="T238" i="2" s="1"/>
  <c r="Q238" i="2"/>
  <c r="R238" i="2" s="1"/>
  <c r="O221" i="2"/>
  <c r="P221" i="2" s="1"/>
  <c r="O93" i="2"/>
  <c r="P93" i="2" s="1"/>
  <c r="S14" i="2"/>
  <c r="T14" i="2" s="1"/>
  <c r="Q14" i="2"/>
  <c r="R14" i="2" s="1"/>
  <c r="S205" i="2"/>
  <c r="T205" i="2" s="1"/>
  <c r="Q205" i="2"/>
  <c r="R205" i="2" s="1"/>
  <c r="O190" i="2"/>
  <c r="P190" i="2" s="1"/>
  <c r="S270" i="2"/>
  <c r="T270" i="2" s="1"/>
  <c r="Q270" i="2"/>
  <c r="R270" i="2" s="1"/>
  <c r="S189" i="2"/>
  <c r="T189" i="2" s="1"/>
  <c r="Q189" i="2"/>
  <c r="R189" i="2" s="1"/>
  <c r="S302" i="2"/>
  <c r="T302" i="2" s="1"/>
  <c r="Q302" i="2"/>
  <c r="R302" i="2" s="1"/>
  <c r="Q174" i="2"/>
  <c r="R174" i="2" s="1"/>
  <c r="S174" i="2"/>
  <c r="T174" i="2" s="1"/>
  <c r="Q46" i="2"/>
  <c r="R46" i="2" s="1"/>
  <c r="S46" i="2"/>
  <c r="T46" i="2" s="1"/>
  <c r="O15" i="2"/>
  <c r="P15" i="2" s="1"/>
  <c r="O31" i="2"/>
  <c r="P31" i="2" s="1"/>
  <c r="O47" i="2"/>
  <c r="P47" i="2" s="1"/>
  <c r="O63" i="2"/>
  <c r="P63" i="2" s="1"/>
  <c r="O79" i="2"/>
  <c r="P79" i="2" s="1"/>
  <c r="O95" i="2"/>
  <c r="P95" i="2" s="1"/>
  <c r="O111" i="2"/>
  <c r="P111" i="2" s="1"/>
  <c r="O127" i="2"/>
  <c r="P127" i="2" s="1"/>
  <c r="O143" i="2"/>
  <c r="P143" i="2" s="1"/>
  <c r="O159" i="2"/>
  <c r="P159" i="2" s="1"/>
  <c r="O175" i="2"/>
  <c r="P175" i="2" s="1"/>
  <c r="O191" i="2"/>
  <c r="P191" i="2" s="1"/>
  <c r="O207" i="2"/>
  <c r="P207" i="2" s="1"/>
  <c r="O223" i="2"/>
  <c r="P223" i="2" s="1"/>
  <c r="O239" i="2"/>
  <c r="P239" i="2" s="1"/>
  <c r="O255" i="2"/>
  <c r="P255" i="2" s="1"/>
  <c r="O271" i="2"/>
  <c r="P271" i="2" s="1"/>
  <c r="O287" i="2"/>
  <c r="P287" i="2" s="1"/>
  <c r="O289" i="2"/>
  <c r="P289" i="2" s="1"/>
  <c r="O227" i="2"/>
  <c r="P227" i="2" s="1"/>
  <c r="O107" i="2"/>
  <c r="P107" i="2" s="1"/>
  <c r="O299" i="2"/>
  <c r="P299" i="2" s="1"/>
  <c r="O28" i="2"/>
  <c r="P28" i="2" s="1"/>
  <c r="O156" i="2"/>
  <c r="P156" i="2" s="1"/>
  <c r="O16" i="2"/>
  <c r="P16" i="2" s="1"/>
  <c r="O32" i="2"/>
  <c r="P32" i="2" s="1"/>
  <c r="O48" i="2"/>
  <c r="P48" i="2" s="1"/>
  <c r="O64" i="2"/>
  <c r="P64" i="2" s="1"/>
  <c r="O80" i="2"/>
  <c r="P80" i="2" s="1"/>
  <c r="O96" i="2"/>
  <c r="P96" i="2" s="1"/>
  <c r="O112" i="2"/>
  <c r="P112" i="2" s="1"/>
  <c r="O128" i="2"/>
  <c r="P128" i="2" s="1"/>
  <c r="O144" i="2"/>
  <c r="P144" i="2" s="1"/>
  <c r="O160" i="2"/>
  <c r="P160" i="2" s="1"/>
  <c r="O176" i="2"/>
  <c r="P176" i="2" s="1"/>
  <c r="O192" i="2"/>
  <c r="P192" i="2" s="1"/>
  <c r="O208" i="2"/>
  <c r="P208" i="2" s="1"/>
  <c r="O224" i="2"/>
  <c r="P224" i="2" s="1"/>
  <c r="O240" i="2"/>
  <c r="P240" i="2" s="1"/>
  <c r="O256" i="2"/>
  <c r="P256" i="2" s="1"/>
  <c r="O272" i="2"/>
  <c r="P272" i="2" s="1"/>
  <c r="O288" i="2"/>
  <c r="P288" i="2" s="1"/>
  <c r="O273" i="2"/>
  <c r="P273" i="2" s="1"/>
  <c r="O259" i="2"/>
  <c r="P259" i="2" s="1"/>
  <c r="O11" i="2"/>
  <c r="P11" i="2" s="1"/>
  <c r="O235" i="2"/>
  <c r="P235" i="2" s="1"/>
  <c r="O44" i="2"/>
  <c r="P44" i="2" s="1"/>
  <c r="O188" i="2"/>
  <c r="P188" i="2" s="1"/>
  <c r="O17" i="2"/>
  <c r="P17" i="2" s="1"/>
  <c r="O33" i="2"/>
  <c r="P33" i="2" s="1"/>
  <c r="O49" i="2"/>
  <c r="P49" i="2" s="1"/>
  <c r="O65" i="2"/>
  <c r="P65" i="2" s="1"/>
  <c r="O81" i="2"/>
  <c r="P81" i="2" s="1"/>
  <c r="O97" i="2"/>
  <c r="P97" i="2" s="1"/>
  <c r="O113" i="2"/>
  <c r="P113" i="2" s="1"/>
  <c r="O129" i="2"/>
  <c r="P129" i="2" s="1"/>
  <c r="O145" i="2"/>
  <c r="P145" i="2" s="1"/>
  <c r="O161" i="2"/>
  <c r="P161" i="2" s="1"/>
  <c r="O177" i="2"/>
  <c r="P177" i="2" s="1"/>
  <c r="O193" i="2"/>
  <c r="P193" i="2" s="1"/>
  <c r="O209" i="2"/>
  <c r="P209" i="2" s="1"/>
  <c r="O225" i="2"/>
  <c r="P225" i="2" s="1"/>
  <c r="O241" i="2"/>
  <c r="P241" i="2" s="1"/>
  <c r="O257" i="2"/>
  <c r="P257" i="2" s="1"/>
  <c r="O203" i="2"/>
  <c r="P203" i="2" s="1"/>
  <c r="O140" i="2"/>
  <c r="P140" i="2" s="1"/>
  <c r="O18" i="2"/>
  <c r="P18" i="2" s="1"/>
  <c r="O34" i="2"/>
  <c r="P34" i="2" s="1"/>
  <c r="O50" i="2"/>
  <c r="P50" i="2" s="1"/>
  <c r="O66" i="2"/>
  <c r="P66" i="2" s="1"/>
  <c r="O82" i="2"/>
  <c r="P82" i="2" s="1"/>
  <c r="O98" i="2"/>
  <c r="P98" i="2" s="1"/>
  <c r="O114" i="2"/>
  <c r="P114" i="2" s="1"/>
  <c r="O130" i="2"/>
  <c r="P130" i="2" s="1"/>
  <c r="O146" i="2"/>
  <c r="P146" i="2" s="1"/>
  <c r="O162" i="2"/>
  <c r="P162" i="2" s="1"/>
  <c r="O178" i="2"/>
  <c r="P178" i="2" s="1"/>
  <c r="O194" i="2"/>
  <c r="P194" i="2" s="1"/>
  <c r="O210" i="2"/>
  <c r="P210" i="2" s="1"/>
  <c r="O226" i="2"/>
  <c r="P226" i="2" s="1"/>
  <c r="O242" i="2"/>
  <c r="P242" i="2" s="1"/>
  <c r="O258" i="2"/>
  <c r="P258" i="2" s="1"/>
  <c r="O274" i="2"/>
  <c r="P274" i="2" s="1"/>
  <c r="O290" i="2"/>
  <c r="P290" i="2" s="1"/>
  <c r="O211" i="2"/>
  <c r="P211" i="2" s="1"/>
  <c r="O243" i="2"/>
  <c r="P243" i="2" s="1"/>
  <c r="O291" i="2"/>
  <c r="P291" i="2" s="1"/>
  <c r="O27" i="2"/>
  <c r="P27" i="2" s="1"/>
  <c r="O187" i="2"/>
  <c r="P187" i="2" s="1"/>
  <c r="O12" i="2"/>
  <c r="P12" i="2" s="1"/>
  <c r="O124" i="2"/>
  <c r="P124" i="2" s="1"/>
  <c r="O300" i="2"/>
  <c r="P300" i="2" s="1"/>
  <c r="O19" i="2"/>
  <c r="P19" i="2" s="1"/>
  <c r="O35" i="2"/>
  <c r="P35" i="2" s="1"/>
  <c r="O51" i="2"/>
  <c r="P51" i="2" s="1"/>
  <c r="O67" i="2"/>
  <c r="P67" i="2" s="1"/>
  <c r="O83" i="2"/>
  <c r="P83" i="2" s="1"/>
  <c r="O99" i="2"/>
  <c r="P99" i="2" s="1"/>
  <c r="O115" i="2"/>
  <c r="P115" i="2" s="1"/>
  <c r="O131" i="2"/>
  <c r="P131" i="2" s="1"/>
  <c r="O147" i="2"/>
  <c r="P147" i="2" s="1"/>
  <c r="O163" i="2"/>
  <c r="P163" i="2" s="1"/>
  <c r="O179" i="2"/>
  <c r="P179" i="2" s="1"/>
  <c r="O195" i="2"/>
  <c r="P195" i="2" s="1"/>
  <c r="O275" i="2"/>
  <c r="P275" i="2" s="1"/>
  <c r="O219" i="2"/>
  <c r="P219" i="2" s="1"/>
  <c r="O20" i="2"/>
  <c r="P20" i="2" s="1"/>
  <c r="O36" i="2"/>
  <c r="P36" i="2" s="1"/>
  <c r="O52" i="2"/>
  <c r="P52" i="2" s="1"/>
  <c r="O68" i="2"/>
  <c r="P68" i="2" s="1"/>
  <c r="O84" i="2"/>
  <c r="P84" i="2" s="1"/>
  <c r="O100" i="2"/>
  <c r="P100" i="2" s="1"/>
  <c r="O116" i="2"/>
  <c r="P116" i="2" s="1"/>
  <c r="O132" i="2"/>
  <c r="P132" i="2" s="1"/>
  <c r="O148" i="2"/>
  <c r="P148" i="2" s="1"/>
  <c r="O164" i="2"/>
  <c r="P164" i="2" s="1"/>
  <c r="O180" i="2"/>
  <c r="P180" i="2" s="1"/>
  <c r="O196" i="2"/>
  <c r="P196" i="2" s="1"/>
  <c r="O212" i="2"/>
  <c r="P212" i="2" s="1"/>
  <c r="O228" i="2"/>
  <c r="P228" i="2" s="1"/>
  <c r="O244" i="2"/>
  <c r="P244" i="2" s="1"/>
  <c r="O260" i="2"/>
  <c r="P260" i="2" s="1"/>
  <c r="O276" i="2"/>
  <c r="P276" i="2" s="1"/>
  <c r="O292" i="2"/>
  <c r="P292" i="2" s="1"/>
  <c r="O139" i="2"/>
  <c r="P139" i="2" s="1"/>
  <c r="O220" i="2"/>
  <c r="P220" i="2" s="1"/>
  <c r="O21" i="2"/>
  <c r="P21" i="2" s="1"/>
  <c r="O37" i="2"/>
  <c r="P37" i="2" s="1"/>
  <c r="O53" i="2"/>
  <c r="P53" i="2" s="1"/>
  <c r="O69" i="2"/>
  <c r="P69" i="2" s="1"/>
  <c r="O85" i="2"/>
  <c r="P85" i="2" s="1"/>
  <c r="O101" i="2"/>
  <c r="P101" i="2" s="1"/>
  <c r="O117" i="2"/>
  <c r="P117" i="2" s="1"/>
  <c r="O133" i="2"/>
  <c r="P133" i="2" s="1"/>
  <c r="O149" i="2"/>
  <c r="P149" i="2" s="1"/>
  <c r="O165" i="2"/>
  <c r="P165" i="2" s="1"/>
  <c r="O181" i="2"/>
  <c r="P181" i="2" s="1"/>
  <c r="O197" i="2"/>
  <c r="P197" i="2" s="1"/>
  <c r="O213" i="2"/>
  <c r="P213" i="2" s="1"/>
  <c r="O229" i="2"/>
  <c r="P229" i="2" s="1"/>
  <c r="O245" i="2"/>
  <c r="P245" i="2" s="1"/>
  <c r="O261" i="2"/>
  <c r="P261" i="2" s="1"/>
  <c r="O277" i="2"/>
  <c r="P277" i="2" s="1"/>
  <c r="O293" i="2"/>
  <c r="P293" i="2" s="1"/>
  <c r="O267" i="2"/>
  <c r="P267" i="2" s="1"/>
  <c r="O284" i="2"/>
  <c r="P284" i="2" s="1"/>
  <c r="O22" i="2"/>
  <c r="P22" i="2" s="1"/>
  <c r="O38" i="2"/>
  <c r="P38" i="2" s="1"/>
  <c r="O54" i="2"/>
  <c r="P54" i="2" s="1"/>
  <c r="O70" i="2"/>
  <c r="P70" i="2" s="1"/>
  <c r="O86" i="2"/>
  <c r="P86" i="2" s="1"/>
  <c r="O102" i="2"/>
  <c r="P102" i="2" s="1"/>
  <c r="O118" i="2"/>
  <c r="P118" i="2" s="1"/>
  <c r="O134" i="2"/>
  <c r="P134" i="2" s="1"/>
  <c r="O150" i="2"/>
  <c r="P150" i="2" s="1"/>
  <c r="O166" i="2"/>
  <c r="P166" i="2" s="1"/>
  <c r="O182" i="2"/>
  <c r="P182" i="2" s="1"/>
  <c r="O198" i="2"/>
  <c r="P198" i="2" s="1"/>
  <c r="O214" i="2"/>
  <c r="P214" i="2" s="1"/>
  <c r="O230" i="2"/>
  <c r="P230" i="2" s="1"/>
  <c r="O246" i="2"/>
  <c r="P246" i="2" s="1"/>
  <c r="O262" i="2"/>
  <c r="P262" i="2" s="1"/>
  <c r="O278" i="2"/>
  <c r="P278" i="2" s="1"/>
  <c r="O294" i="2"/>
  <c r="P294" i="2" s="1"/>
  <c r="O123" i="2"/>
  <c r="P123" i="2" s="1"/>
  <c r="O236" i="2"/>
  <c r="P236" i="2" s="1"/>
  <c r="O23" i="2"/>
  <c r="P23" i="2" s="1"/>
  <c r="O39" i="2"/>
  <c r="P39" i="2" s="1"/>
  <c r="O55" i="2"/>
  <c r="P55" i="2" s="1"/>
  <c r="O71" i="2"/>
  <c r="P71" i="2" s="1"/>
  <c r="O87" i="2"/>
  <c r="P87" i="2" s="1"/>
  <c r="O103" i="2"/>
  <c r="P103" i="2" s="1"/>
  <c r="O119" i="2"/>
  <c r="P119" i="2" s="1"/>
  <c r="O135" i="2"/>
  <c r="P135" i="2" s="1"/>
  <c r="O151" i="2"/>
  <c r="P151" i="2" s="1"/>
  <c r="O167" i="2"/>
  <c r="P167" i="2" s="1"/>
  <c r="O183" i="2"/>
  <c r="P183" i="2" s="1"/>
  <c r="O199" i="2"/>
  <c r="P199" i="2" s="1"/>
  <c r="O215" i="2"/>
  <c r="P215" i="2" s="1"/>
  <c r="O231" i="2"/>
  <c r="P231" i="2" s="1"/>
  <c r="O247" i="2"/>
  <c r="P247" i="2" s="1"/>
  <c r="O263" i="2"/>
  <c r="P263" i="2" s="1"/>
  <c r="O279" i="2"/>
  <c r="P279" i="2" s="1"/>
  <c r="O295" i="2"/>
  <c r="P295" i="2" s="1"/>
  <c r="O91" i="2"/>
  <c r="P91" i="2" s="1"/>
  <c r="O251" i="2"/>
  <c r="P251" i="2" s="1"/>
  <c r="O76" i="2"/>
  <c r="P76" i="2" s="1"/>
  <c r="O204" i="2"/>
  <c r="P204" i="2" s="1"/>
  <c r="O24" i="2"/>
  <c r="P24" i="2" s="1"/>
  <c r="O40" i="2"/>
  <c r="P40" i="2" s="1"/>
  <c r="O56" i="2"/>
  <c r="P56" i="2" s="1"/>
  <c r="O72" i="2"/>
  <c r="P72" i="2" s="1"/>
  <c r="O88" i="2"/>
  <c r="P88" i="2" s="1"/>
  <c r="O104" i="2"/>
  <c r="P104" i="2" s="1"/>
  <c r="O120" i="2"/>
  <c r="P120" i="2" s="1"/>
  <c r="O136" i="2"/>
  <c r="P136" i="2" s="1"/>
  <c r="O152" i="2"/>
  <c r="P152" i="2" s="1"/>
  <c r="O168" i="2"/>
  <c r="P168" i="2" s="1"/>
  <c r="O184" i="2"/>
  <c r="P184" i="2" s="1"/>
  <c r="O200" i="2"/>
  <c r="P200" i="2" s="1"/>
  <c r="O216" i="2"/>
  <c r="P216" i="2" s="1"/>
  <c r="O232" i="2"/>
  <c r="P232" i="2" s="1"/>
  <c r="O248" i="2"/>
  <c r="P248" i="2" s="1"/>
  <c r="O264" i="2"/>
  <c r="P264" i="2" s="1"/>
  <c r="O280" i="2"/>
  <c r="P280" i="2" s="1"/>
  <c r="O296" i="2"/>
  <c r="P296" i="2" s="1"/>
  <c r="O43" i="2"/>
  <c r="P43" i="2" s="1"/>
  <c r="O155" i="2"/>
  <c r="P155" i="2" s="1"/>
  <c r="O92" i="2"/>
  <c r="P92" i="2" s="1"/>
  <c r="O252" i="2"/>
  <c r="P252" i="2" s="1"/>
  <c r="O9" i="2"/>
  <c r="P9" i="2" s="1"/>
  <c r="O25" i="2"/>
  <c r="P25" i="2" s="1"/>
  <c r="O41" i="2"/>
  <c r="P41" i="2" s="1"/>
  <c r="O57" i="2"/>
  <c r="P57" i="2" s="1"/>
  <c r="O73" i="2"/>
  <c r="P73" i="2" s="1"/>
  <c r="O89" i="2"/>
  <c r="P89" i="2" s="1"/>
  <c r="O105" i="2"/>
  <c r="P105" i="2" s="1"/>
  <c r="O121" i="2"/>
  <c r="P121" i="2" s="1"/>
  <c r="O137" i="2"/>
  <c r="P137" i="2" s="1"/>
  <c r="O153" i="2"/>
  <c r="P153" i="2" s="1"/>
  <c r="O169" i="2"/>
  <c r="P169" i="2" s="1"/>
  <c r="O185" i="2"/>
  <c r="P185" i="2" s="1"/>
  <c r="O201" i="2"/>
  <c r="P201" i="2" s="1"/>
  <c r="O217" i="2"/>
  <c r="P217" i="2" s="1"/>
  <c r="O233" i="2"/>
  <c r="P233" i="2" s="1"/>
  <c r="O249" i="2"/>
  <c r="P249" i="2" s="1"/>
  <c r="O265" i="2"/>
  <c r="P265" i="2" s="1"/>
  <c r="O281" i="2"/>
  <c r="P281" i="2" s="1"/>
  <c r="O297" i="2"/>
  <c r="P297" i="2" s="1"/>
  <c r="O75" i="2"/>
  <c r="P75" i="2" s="1"/>
  <c r="O171" i="2"/>
  <c r="P171" i="2" s="1"/>
  <c r="O60" i="2"/>
  <c r="P60" i="2" s="1"/>
  <c r="O172" i="2"/>
  <c r="P172" i="2" s="1"/>
  <c r="O10" i="2"/>
  <c r="P10" i="2" s="1"/>
  <c r="O26" i="2"/>
  <c r="P26" i="2" s="1"/>
  <c r="O42" i="2"/>
  <c r="P42" i="2" s="1"/>
  <c r="O58" i="2"/>
  <c r="P58" i="2" s="1"/>
  <c r="O74" i="2"/>
  <c r="P74" i="2" s="1"/>
  <c r="O90" i="2"/>
  <c r="P90" i="2" s="1"/>
  <c r="O106" i="2"/>
  <c r="P106" i="2" s="1"/>
  <c r="O122" i="2"/>
  <c r="P122" i="2" s="1"/>
  <c r="O138" i="2"/>
  <c r="P138" i="2" s="1"/>
  <c r="O154" i="2"/>
  <c r="P154" i="2" s="1"/>
  <c r="O170" i="2"/>
  <c r="P170" i="2" s="1"/>
  <c r="O186" i="2"/>
  <c r="P186" i="2" s="1"/>
  <c r="O202" i="2"/>
  <c r="P202" i="2" s="1"/>
  <c r="O218" i="2"/>
  <c r="P218" i="2" s="1"/>
  <c r="O234" i="2"/>
  <c r="P234" i="2" s="1"/>
  <c r="O250" i="2"/>
  <c r="P250" i="2" s="1"/>
  <c r="O266" i="2"/>
  <c r="P266" i="2" s="1"/>
  <c r="O282" i="2"/>
  <c r="P282" i="2" s="1"/>
  <c r="O298" i="2"/>
  <c r="P298" i="2" s="1"/>
  <c r="O59" i="2"/>
  <c r="P59" i="2" s="1"/>
  <c r="O283" i="2"/>
  <c r="P283" i="2" s="1"/>
  <c r="O108" i="2"/>
  <c r="P108" i="2" s="1"/>
  <c r="O268" i="2"/>
  <c r="P268" i="2" s="1"/>
  <c r="S94" i="2" l="1"/>
  <c r="T94" i="2" s="1"/>
  <c r="S30" i="2"/>
  <c r="T30" i="2" s="1"/>
  <c r="Q141" i="2"/>
  <c r="R141" i="2" s="1"/>
  <c r="Q206" i="2"/>
  <c r="R206" i="2" s="1"/>
  <c r="Q158" i="2"/>
  <c r="R158" i="2" s="1"/>
  <c r="Q109" i="2"/>
  <c r="R109" i="2" s="1"/>
  <c r="Q253" i="2"/>
  <c r="R253" i="2" s="1"/>
  <c r="S61" i="2"/>
  <c r="T61" i="2" s="1"/>
  <c r="Q237" i="2"/>
  <c r="R237" i="2" s="1"/>
  <c r="S173" i="2"/>
  <c r="T173" i="2" s="1"/>
  <c r="Q269" i="2"/>
  <c r="R269" i="2" s="1"/>
  <c r="Q29" i="2"/>
  <c r="R29" i="2" s="1"/>
  <c r="Q125" i="2"/>
  <c r="R125" i="2" s="1"/>
  <c r="Q77" i="2"/>
  <c r="R77" i="2" s="1"/>
  <c r="S78" i="2"/>
  <c r="T78" i="2" s="1"/>
  <c r="Q222" i="2"/>
  <c r="R222" i="2" s="1"/>
  <c r="S291" i="2"/>
  <c r="T291" i="2" s="1"/>
  <c r="Q291" i="2"/>
  <c r="R291" i="2" s="1"/>
  <c r="S113" i="2"/>
  <c r="T113" i="2" s="1"/>
  <c r="Q113" i="2"/>
  <c r="R113" i="2" s="1"/>
  <c r="S240" i="2"/>
  <c r="T240" i="2" s="1"/>
  <c r="Q240" i="2"/>
  <c r="R240" i="2" s="1"/>
  <c r="S28" i="2"/>
  <c r="T28" i="2" s="1"/>
  <c r="Q28" i="2"/>
  <c r="R28" i="2" s="1"/>
  <c r="S111" i="2"/>
  <c r="T111" i="2" s="1"/>
  <c r="Q111" i="2"/>
  <c r="R111" i="2" s="1"/>
  <c r="S79" i="2"/>
  <c r="T79" i="2" s="1"/>
  <c r="Q79" i="2"/>
  <c r="R79" i="2" s="1"/>
  <c r="S93" i="2"/>
  <c r="T93" i="2" s="1"/>
  <c r="Q93" i="2"/>
  <c r="R93" i="2" s="1"/>
  <c r="S212" i="2"/>
  <c r="T212" i="2" s="1"/>
  <c r="Q212" i="2"/>
  <c r="R212" i="2" s="1"/>
  <c r="S196" i="2"/>
  <c r="T196" i="2" s="1"/>
  <c r="Q196" i="2"/>
  <c r="R196" i="2" s="1"/>
  <c r="S180" i="2"/>
  <c r="T180" i="2" s="1"/>
  <c r="Q180" i="2"/>
  <c r="R180" i="2" s="1"/>
  <c r="Q170" i="2"/>
  <c r="R170" i="2" s="1"/>
  <c r="S170" i="2"/>
  <c r="T170" i="2" s="1"/>
  <c r="Q281" i="2"/>
  <c r="R281" i="2" s="1"/>
  <c r="S281" i="2"/>
  <c r="T281" i="2" s="1"/>
  <c r="Q25" i="2"/>
  <c r="R25" i="2" s="1"/>
  <c r="S25" i="2"/>
  <c r="T25" i="2" s="1"/>
  <c r="Q136" i="2"/>
  <c r="R136" i="2" s="1"/>
  <c r="S136" i="2"/>
  <c r="T136" i="2" s="1"/>
  <c r="S231" i="2"/>
  <c r="T231" i="2" s="1"/>
  <c r="Q231" i="2"/>
  <c r="R231" i="2" s="1"/>
  <c r="Q294" i="2"/>
  <c r="R294" i="2" s="1"/>
  <c r="S294" i="2"/>
  <c r="T294" i="2" s="1"/>
  <c r="S38" i="2"/>
  <c r="T38" i="2" s="1"/>
  <c r="Q38" i="2"/>
  <c r="R38" i="2" s="1"/>
  <c r="S101" i="2"/>
  <c r="T101" i="2" s="1"/>
  <c r="Q101" i="2"/>
  <c r="R101" i="2" s="1"/>
  <c r="S164" i="2"/>
  <c r="T164" i="2" s="1"/>
  <c r="Q164" i="2"/>
  <c r="R164" i="2" s="1"/>
  <c r="S131" i="2"/>
  <c r="T131" i="2" s="1"/>
  <c r="Q131" i="2"/>
  <c r="R131" i="2" s="1"/>
  <c r="S290" i="2"/>
  <c r="T290" i="2" s="1"/>
  <c r="Q290" i="2"/>
  <c r="R290" i="2" s="1"/>
  <c r="S34" i="2"/>
  <c r="T34" i="2" s="1"/>
  <c r="Q34" i="2"/>
  <c r="R34" i="2" s="1"/>
  <c r="S65" i="2"/>
  <c r="T65" i="2" s="1"/>
  <c r="Q65" i="2"/>
  <c r="R65" i="2" s="1"/>
  <c r="S192" i="2"/>
  <c r="T192" i="2" s="1"/>
  <c r="Q192" i="2"/>
  <c r="R192" i="2" s="1"/>
  <c r="S227" i="2"/>
  <c r="T227" i="2" s="1"/>
  <c r="Q227" i="2"/>
  <c r="R227" i="2" s="1"/>
  <c r="S63" i="2"/>
  <c r="T63" i="2" s="1"/>
  <c r="Q63" i="2"/>
  <c r="R63" i="2" s="1"/>
  <c r="S221" i="2"/>
  <c r="T221" i="2" s="1"/>
  <c r="Q221" i="2"/>
  <c r="R221" i="2" s="1"/>
  <c r="Q73" i="2"/>
  <c r="R73" i="2" s="1"/>
  <c r="S73" i="2"/>
  <c r="T73" i="2" s="1"/>
  <c r="S263" i="2"/>
  <c r="T263" i="2" s="1"/>
  <c r="Q263" i="2"/>
  <c r="R263" i="2" s="1"/>
  <c r="S299" i="2"/>
  <c r="T299" i="2" s="1"/>
  <c r="Q299" i="2"/>
  <c r="R299" i="2" s="1"/>
  <c r="Q41" i="2"/>
  <c r="R41" i="2" s="1"/>
  <c r="S41" i="2"/>
  <c r="T41" i="2" s="1"/>
  <c r="S147" i="2"/>
  <c r="T147" i="2" s="1"/>
  <c r="Q147" i="2"/>
  <c r="R147" i="2" s="1"/>
  <c r="Q265" i="2"/>
  <c r="R265" i="2" s="1"/>
  <c r="S265" i="2"/>
  <c r="T265" i="2" s="1"/>
  <c r="Q9" i="2"/>
  <c r="R9" i="2" s="1"/>
  <c r="S9" i="2"/>
  <c r="T9" i="2" s="1"/>
  <c r="S120" i="2"/>
  <c r="T120" i="2" s="1"/>
  <c r="Q120" i="2"/>
  <c r="R120" i="2" s="1"/>
  <c r="Q215" i="2"/>
  <c r="R215" i="2" s="1"/>
  <c r="S215" i="2"/>
  <c r="T215" i="2" s="1"/>
  <c r="Q278" i="2"/>
  <c r="R278" i="2" s="1"/>
  <c r="S278" i="2"/>
  <c r="T278" i="2" s="1"/>
  <c r="S22" i="2"/>
  <c r="T22" i="2" s="1"/>
  <c r="Q22" i="2"/>
  <c r="R22" i="2" s="1"/>
  <c r="S85" i="2"/>
  <c r="T85" i="2" s="1"/>
  <c r="Q85" i="2"/>
  <c r="R85" i="2" s="1"/>
  <c r="S148" i="2"/>
  <c r="T148" i="2" s="1"/>
  <c r="Q148" i="2"/>
  <c r="R148" i="2" s="1"/>
  <c r="S115" i="2"/>
  <c r="T115" i="2" s="1"/>
  <c r="Q115" i="2"/>
  <c r="R115" i="2" s="1"/>
  <c r="S274" i="2"/>
  <c r="T274" i="2" s="1"/>
  <c r="Q274" i="2"/>
  <c r="R274" i="2" s="1"/>
  <c r="S18" i="2"/>
  <c r="T18" i="2" s="1"/>
  <c r="Q18" i="2"/>
  <c r="R18" i="2" s="1"/>
  <c r="S49" i="2"/>
  <c r="T49" i="2" s="1"/>
  <c r="Q49" i="2"/>
  <c r="R49" i="2" s="1"/>
  <c r="S176" i="2"/>
  <c r="T176" i="2" s="1"/>
  <c r="Q176" i="2"/>
  <c r="R176" i="2" s="1"/>
  <c r="S289" i="2"/>
  <c r="T289" i="2" s="1"/>
  <c r="Q289" i="2"/>
  <c r="R289" i="2" s="1"/>
  <c r="S47" i="2"/>
  <c r="T47" i="2" s="1"/>
  <c r="Q47" i="2"/>
  <c r="R47" i="2" s="1"/>
  <c r="Q279" i="2"/>
  <c r="R279" i="2" s="1"/>
  <c r="S279" i="2"/>
  <c r="T279" i="2" s="1"/>
  <c r="S168" i="2"/>
  <c r="T168" i="2" s="1"/>
  <c r="Q168" i="2"/>
  <c r="R168" i="2" s="1"/>
  <c r="S243" i="2"/>
  <c r="T243" i="2" s="1"/>
  <c r="Q243" i="2"/>
  <c r="R243" i="2" s="1"/>
  <c r="Q297" i="2"/>
  <c r="R297" i="2" s="1"/>
  <c r="S297" i="2"/>
  <c r="T297" i="2" s="1"/>
  <c r="S208" i="2"/>
  <c r="T208" i="2" s="1"/>
  <c r="Q208" i="2"/>
  <c r="R208" i="2" s="1"/>
  <c r="Q249" i="2"/>
  <c r="R249" i="2" s="1"/>
  <c r="S249" i="2"/>
  <c r="T249" i="2" s="1"/>
  <c r="S252" i="2"/>
  <c r="T252" i="2" s="1"/>
  <c r="Q252" i="2"/>
  <c r="R252" i="2" s="1"/>
  <c r="S104" i="2"/>
  <c r="T104" i="2" s="1"/>
  <c r="Q104" i="2"/>
  <c r="R104" i="2" s="1"/>
  <c r="S199" i="2"/>
  <c r="T199" i="2" s="1"/>
  <c r="Q199" i="2"/>
  <c r="R199" i="2" s="1"/>
  <c r="S262" i="2"/>
  <c r="T262" i="2" s="1"/>
  <c r="Q262" i="2"/>
  <c r="R262" i="2" s="1"/>
  <c r="S284" i="2"/>
  <c r="T284" i="2" s="1"/>
  <c r="Q284" i="2"/>
  <c r="R284" i="2" s="1"/>
  <c r="S69" i="2"/>
  <c r="T69" i="2" s="1"/>
  <c r="Q69" i="2"/>
  <c r="R69" i="2" s="1"/>
  <c r="S132" i="2"/>
  <c r="T132" i="2" s="1"/>
  <c r="Q132" i="2"/>
  <c r="R132" i="2" s="1"/>
  <c r="S99" i="2"/>
  <c r="T99" i="2" s="1"/>
  <c r="Q99" i="2"/>
  <c r="R99" i="2" s="1"/>
  <c r="S258" i="2"/>
  <c r="T258" i="2" s="1"/>
  <c r="Q258" i="2"/>
  <c r="R258" i="2" s="1"/>
  <c r="S140" i="2"/>
  <c r="T140" i="2" s="1"/>
  <c r="Q140" i="2"/>
  <c r="R140" i="2" s="1"/>
  <c r="S33" i="2"/>
  <c r="T33" i="2" s="1"/>
  <c r="Q33" i="2"/>
  <c r="R33" i="2" s="1"/>
  <c r="S160" i="2"/>
  <c r="T160" i="2" s="1"/>
  <c r="Q160" i="2"/>
  <c r="R160" i="2" s="1"/>
  <c r="S287" i="2"/>
  <c r="T287" i="2" s="1"/>
  <c r="Q287" i="2"/>
  <c r="R287" i="2" s="1"/>
  <c r="S31" i="2"/>
  <c r="T31" i="2" s="1"/>
  <c r="Q31" i="2"/>
  <c r="R31" i="2" s="1"/>
  <c r="S190" i="2"/>
  <c r="T190" i="2" s="1"/>
  <c r="Q190" i="2"/>
  <c r="R190" i="2" s="1"/>
  <c r="Q202" i="2"/>
  <c r="R202" i="2" s="1"/>
  <c r="S202" i="2"/>
  <c r="T202" i="2" s="1"/>
  <c r="S224" i="2"/>
  <c r="T224" i="2" s="1"/>
  <c r="Q224" i="2"/>
  <c r="R224" i="2" s="1"/>
  <c r="S107" i="2"/>
  <c r="T107" i="2" s="1"/>
  <c r="Q107" i="2"/>
  <c r="R107" i="2" s="1"/>
  <c r="Q233" i="2"/>
  <c r="R233" i="2" s="1"/>
  <c r="S233" i="2"/>
  <c r="T233" i="2" s="1"/>
  <c r="S92" i="2"/>
  <c r="T92" i="2" s="1"/>
  <c r="Q92" i="2"/>
  <c r="R92" i="2" s="1"/>
  <c r="S88" i="2"/>
  <c r="T88" i="2" s="1"/>
  <c r="Q88" i="2"/>
  <c r="R88" i="2" s="1"/>
  <c r="Q183" i="2"/>
  <c r="R183" i="2" s="1"/>
  <c r="S183" i="2"/>
  <c r="T183" i="2" s="1"/>
  <c r="Q246" i="2"/>
  <c r="R246" i="2" s="1"/>
  <c r="S246" i="2"/>
  <c r="T246" i="2" s="1"/>
  <c r="S267" i="2"/>
  <c r="T267" i="2" s="1"/>
  <c r="Q267" i="2"/>
  <c r="R267" i="2" s="1"/>
  <c r="S53" i="2"/>
  <c r="T53" i="2" s="1"/>
  <c r="Q53" i="2"/>
  <c r="R53" i="2" s="1"/>
  <c r="S116" i="2"/>
  <c r="T116" i="2" s="1"/>
  <c r="Q116" i="2"/>
  <c r="R116" i="2" s="1"/>
  <c r="S83" i="2"/>
  <c r="T83" i="2" s="1"/>
  <c r="Q83" i="2"/>
  <c r="R83" i="2" s="1"/>
  <c r="S242" i="2"/>
  <c r="T242" i="2" s="1"/>
  <c r="Q242" i="2"/>
  <c r="R242" i="2" s="1"/>
  <c r="S203" i="2"/>
  <c r="T203" i="2" s="1"/>
  <c r="Q203" i="2"/>
  <c r="R203" i="2" s="1"/>
  <c r="S17" i="2"/>
  <c r="T17" i="2" s="1"/>
  <c r="Q17" i="2"/>
  <c r="R17" i="2" s="1"/>
  <c r="S144" i="2"/>
  <c r="T144" i="2" s="1"/>
  <c r="Q144" i="2"/>
  <c r="R144" i="2" s="1"/>
  <c r="S271" i="2"/>
  <c r="T271" i="2" s="1"/>
  <c r="Q271" i="2"/>
  <c r="R271" i="2" s="1"/>
  <c r="S15" i="2"/>
  <c r="T15" i="2" s="1"/>
  <c r="Q15" i="2"/>
  <c r="R15" i="2" s="1"/>
  <c r="S184" i="2"/>
  <c r="T184" i="2" s="1"/>
  <c r="Q184" i="2"/>
  <c r="R184" i="2" s="1"/>
  <c r="S133" i="2"/>
  <c r="T133" i="2" s="1"/>
  <c r="Q133" i="2"/>
  <c r="R133" i="2" s="1"/>
  <c r="Q247" i="2"/>
  <c r="R247" i="2" s="1"/>
  <c r="S247" i="2"/>
  <c r="T247" i="2" s="1"/>
  <c r="S81" i="2"/>
  <c r="T81" i="2" s="1"/>
  <c r="Q81" i="2"/>
  <c r="R81" i="2" s="1"/>
  <c r="Q154" i="2"/>
  <c r="R154" i="2" s="1"/>
  <c r="S154" i="2"/>
  <c r="T154" i="2" s="1"/>
  <c r="S268" i="2"/>
  <c r="T268" i="2" s="1"/>
  <c r="Q268" i="2"/>
  <c r="R268" i="2" s="1"/>
  <c r="Q106" i="2"/>
  <c r="R106" i="2" s="1"/>
  <c r="S106" i="2"/>
  <c r="T106" i="2" s="1"/>
  <c r="Q217" i="2"/>
  <c r="R217" i="2" s="1"/>
  <c r="S217" i="2"/>
  <c r="T217" i="2" s="1"/>
  <c r="S155" i="2"/>
  <c r="T155" i="2" s="1"/>
  <c r="Q155" i="2"/>
  <c r="R155" i="2" s="1"/>
  <c r="S72" i="2"/>
  <c r="T72" i="2" s="1"/>
  <c r="Q72" i="2"/>
  <c r="R72" i="2" s="1"/>
  <c r="S167" i="2"/>
  <c r="T167" i="2" s="1"/>
  <c r="Q167" i="2"/>
  <c r="R167" i="2" s="1"/>
  <c r="Q230" i="2"/>
  <c r="R230" i="2" s="1"/>
  <c r="S230" i="2"/>
  <c r="T230" i="2" s="1"/>
  <c r="S293" i="2"/>
  <c r="T293" i="2" s="1"/>
  <c r="Q293" i="2"/>
  <c r="R293" i="2" s="1"/>
  <c r="S37" i="2"/>
  <c r="T37" i="2" s="1"/>
  <c r="Q37" i="2"/>
  <c r="R37" i="2" s="1"/>
  <c r="S100" i="2"/>
  <c r="T100" i="2" s="1"/>
  <c r="Q100" i="2"/>
  <c r="R100" i="2" s="1"/>
  <c r="S67" i="2"/>
  <c r="T67" i="2" s="1"/>
  <c r="Q67" i="2"/>
  <c r="R67" i="2" s="1"/>
  <c r="S226" i="2"/>
  <c r="T226" i="2" s="1"/>
  <c r="Q226" i="2"/>
  <c r="R226" i="2" s="1"/>
  <c r="S257" i="2"/>
  <c r="T257" i="2" s="1"/>
  <c r="Q257" i="2"/>
  <c r="R257" i="2" s="1"/>
  <c r="S188" i="2"/>
  <c r="T188" i="2" s="1"/>
  <c r="Q188" i="2"/>
  <c r="R188" i="2" s="1"/>
  <c r="S128" i="2"/>
  <c r="T128" i="2" s="1"/>
  <c r="Q128" i="2"/>
  <c r="R128" i="2" s="1"/>
  <c r="S255" i="2"/>
  <c r="T255" i="2" s="1"/>
  <c r="Q255" i="2"/>
  <c r="R255" i="2" s="1"/>
  <c r="Q218" i="2"/>
  <c r="R218" i="2" s="1"/>
  <c r="S218" i="2"/>
  <c r="T218" i="2" s="1"/>
  <c r="Q57" i="2"/>
  <c r="R57" i="2" s="1"/>
  <c r="S57" i="2"/>
  <c r="T57" i="2" s="1"/>
  <c r="S66" i="2"/>
  <c r="T66" i="2" s="1"/>
  <c r="Q66" i="2"/>
  <c r="R66" i="2" s="1"/>
  <c r="S123" i="2"/>
  <c r="T123" i="2" s="1"/>
  <c r="Q123" i="2"/>
  <c r="R123" i="2" s="1"/>
  <c r="S50" i="2"/>
  <c r="T50" i="2" s="1"/>
  <c r="Q50" i="2"/>
  <c r="R50" i="2" s="1"/>
  <c r="Q122" i="2"/>
  <c r="R122" i="2" s="1"/>
  <c r="S122" i="2"/>
  <c r="T122" i="2" s="1"/>
  <c r="S108" i="2"/>
  <c r="T108" i="2" s="1"/>
  <c r="Q108" i="2"/>
  <c r="R108" i="2" s="1"/>
  <c r="Q90" i="2"/>
  <c r="R90" i="2" s="1"/>
  <c r="S90" i="2"/>
  <c r="T90" i="2" s="1"/>
  <c r="Q201" i="2"/>
  <c r="R201" i="2" s="1"/>
  <c r="S201" i="2"/>
  <c r="T201" i="2" s="1"/>
  <c r="Q43" i="2"/>
  <c r="R43" i="2" s="1"/>
  <c r="S43" i="2"/>
  <c r="T43" i="2" s="1"/>
  <c r="Q56" i="2"/>
  <c r="R56" i="2" s="1"/>
  <c r="S56" i="2"/>
  <c r="T56" i="2" s="1"/>
  <c r="Q151" i="2"/>
  <c r="R151" i="2" s="1"/>
  <c r="S151" i="2"/>
  <c r="T151" i="2" s="1"/>
  <c r="Q214" i="2"/>
  <c r="R214" i="2" s="1"/>
  <c r="S214" i="2"/>
  <c r="T214" i="2" s="1"/>
  <c r="S277" i="2"/>
  <c r="T277" i="2" s="1"/>
  <c r="Q277" i="2"/>
  <c r="R277" i="2" s="1"/>
  <c r="S21" i="2"/>
  <c r="T21" i="2" s="1"/>
  <c r="Q21" i="2"/>
  <c r="R21" i="2" s="1"/>
  <c r="S84" i="2"/>
  <c r="T84" i="2" s="1"/>
  <c r="Q84" i="2"/>
  <c r="R84" i="2" s="1"/>
  <c r="S51" i="2"/>
  <c r="T51" i="2" s="1"/>
  <c r="Q51" i="2"/>
  <c r="R51" i="2" s="1"/>
  <c r="S210" i="2"/>
  <c r="T210" i="2" s="1"/>
  <c r="Q210" i="2"/>
  <c r="R210" i="2" s="1"/>
  <c r="S241" i="2"/>
  <c r="T241" i="2" s="1"/>
  <c r="Q241" i="2"/>
  <c r="R241" i="2" s="1"/>
  <c r="S44" i="2"/>
  <c r="T44" i="2" s="1"/>
  <c r="Q44" i="2"/>
  <c r="R44" i="2" s="1"/>
  <c r="S112" i="2"/>
  <c r="T112" i="2" s="1"/>
  <c r="Q112" i="2"/>
  <c r="R112" i="2" s="1"/>
  <c r="S239" i="2"/>
  <c r="T239" i="2" s="1"/>
  <c r="Q239" i="2"/>
  <c r="R239" i="2" s="1"/>
  <c r="S23" i="2"/>
  <c r="T23" i="2" s="1"/>
  <c r="Q23" i="2"/>
  <c r="R23" i="2" s="1"/>
  <c r="S236" i="2"/>
  <c r="T236" i="2" s="1"/>
  <c r="Q236" i="2"/>
  <c r="R236" i="2" s="1"/>
  <c r="Q152" i="2"/>
  <c r="R152" i="2" s="1"/>
  <c r="S152" i="2"/>
  <c r="T152" i="2" s="1"/>
  <c r="S211" i="2"/>
  <c r="T211" i="2" s="1"/>
  <c r="Q211" i="2"/>
  <c r="R211" i="2" s="1"/>
  <c r="Q138" i="2"/>
  <c r="R138" i="2" s="1"/>
  <c r="S138" i="2"/>
  <c r="T138" i="2" s="1"/>
  <c r="Q283" i="2"/>
  <c r="R283" i="2" s="1"/>
  <c r="S283" i="2"/>
  <c r="T283" i="2" s="1"/>
  <c r="Q74" i="2"/>
  <c r="R74" i="2" s="1"/>
  <c r="S74" i="2"/>
  <c r="T74" i="2" s="1"/>
  <c r="Q185" i="2"/>
  <c r="R185" i="2" s="1"/>
  <c r="S185" i="2"/>
  <c r="T185" i="2" s="1"/>
  <c r="S296" i="2"/>
  <c r="T296" i="2" s="1"/>
  <c r="Q296" i="2"/>
  <c r="R296" i="2" s="1"/>
  <c r="Q40" i="2"/>
  <c r="R40" i="2" s="1"/>
  <c r="S40" i="2"/>
  <c r="T40" i="2" s="1"/>
  <c r="S135" i="2"/>
  <c r="T135" i="2" s="1"/>
  <c r="Q135" i="2"/>
  <c r="R135" i="2" s="1"/>
  <c r="S198" i="2"/>
  <c r="T198" i="2" s="1"/>
  <c r="Q198" i="2"/>
  <c r="R198" i="2" s="1"/>
  <c r="S261" i="2"/>
  <c r="T261" i="2" s="1"/>
  <c r="Q261" i="2"/>
  <c r="R261" i="2" s="1"/>
  <c r="S220" i="2"/>
  <c r="T220" i="2" s="1"/>
  <c r="Q220" i="2"/>
  <c r="R220" i="2" s="1"/>
  <c r="S68" i="2"/>
  <c r="T68" i="2" s="1"/>
  <c r="Q68" i="2"/>
  <c r="R68" i="2" s="1"/>
  <c r="S35" i="2"/>
  <c r="T35" i="2" s="1"/>
  <c r="Q35" i="2"/>
  <c r="R35" i="2" s="1"/>
  <c r="S194" i="2"/>
  <c r="T194" i="2" s="1"/>
  <c r="Q194" i="2"/>
  <c r="R194" i="2" s="1"/>
  <c r="S225" i="2"/>
  <c r="T225" i="2" s="1"/>
  <c r="Q225" i="2"/>
  <c r="R225" i="2" s="1"/>
  <c r="S235" i="2"/>
  <c r="T235" i="2" s="1"/>
  <c r="Q235" i="2"/>
  <c r="R235" i="2" s="1"/>
  <c r="S96" i="2"/>
  <c r="T96" i="2" s="1"/>
  <c r="Q96" i="2"/>
  <c r="R96" i="2" s="1"/>
  <c r="S223" i="2"/>
  <c r="T223" i="2" s="1"/>
  <c r="Q223" i="2"/>
  <c r="R223" i="2" s="1"/>
  <c r="S86" i="2"/>
  <c r="T86" i="2" s="1"/>
  <c r="Q86" i="2"/>
  <c r="R86" i="2" s="1"/>
  <c r="S97" i="2"/>
  <c r="T97" i="2" s="1"/>
  <c r="Q97" i="2"/>
  <c r="R97" i="2" s="1"/>
  <c r="Q58" i="2"/>
  <c r="R58" i="2" s="1"/>
  <c r="S58" i="2"/>
  <c r="T58" i="2" s="1"/>
  <c r="Q280" i="2"/>
  <c r="R280" i="2" s="1"/>
  <c r="S280" i="2"/>
  <c r="T280" i="2" s="1"/>
  <c r="S119" i="2"/>
  <c r="T119" i="2" s="1"/>
  <c r="Q119" i="2"/>
  <c r="R119" i="2" s="1"/>
  <c r="Q182" i="2"/>
  <c r="R182" i="2" s="1"/>
  <c r="S182" i="2"/>
  <c r="T182" i="2" s="1"/>
  <c r="S245" i="2"/>
  <c r="T245" i="2" s="1"/>
  <c r="Q245" i="2"/>
  <c r="R245" i="2" s="1"/>
  <c r="S139" i="2"/>
  <c r="T139" i="2" s="1"/>
  <c r="Q139" i="2"/>
  <c r="R139" i="2" s="1"/>
  <c r="S52" i="2"/>
  <c r="T52" i="2" s="1"/>
  <c r="Q52" i="2"/>
  <c r="R52" i="2" s="1"/>
  <c r="S19" i="2"/>
  <c r="T19" i="2" s="1"/>
  <c r="Q19" i="2"/>
  <c r="R19" i="2" s="1"/>
  <c r="S178" i="2"/>
  <c r="T178" i="2" s="1"/>
  <c r="Q178" i="2"/>
  <c r="R178" i="2" s="1"/>
  <c r="S209" i="2"/>
  <c r="T209" i="2" s="1"/>
  <c r="Q209" i="2"/>
  <c r="R209" i="2" s="1"/>
  <c r="S11" i="2"/>
  <c r="T11" i="2" s="1"/>
  <c r="Q11" i="2"/>
  <c r="R11" i="2" s="1"/>
  <c r="S80" i="2"/>
  <c r="T80" i="2" s="1"/>
  <c r="Q80" i="2"/>
  <c r="R80" i="2" s="1"/>
  <c r="S207" i="2"/>
  <c r="T207" i="2" s="1"/>
  <c r="Q207" i="2"/>
  <c r="R207" i="2" s="1"/>
  <c r="Q186" i="2"/>
  <c r="R186" i="2" s="1"/>
  <c r="S186" i="2"/>
  <c r="T186" i="2" s="1"/>
  <c r="S59" i="2"/>
  <c r="T59" i="2" s="1"/>
  <c r="Q59" i="2"/>
  <c r="R59" i="2" s="1"/>
  <c r="Q169" i="2"/>
  <c r="R169" i="2" s="1"/>
  <c r="S169" i="2"/>
  <c r="T169" i="2" s="1"/>
  <c r="Q24" i="2"/>
  <c r="R24" i="2" s="1"/>
  <c r="S24" i="2"/>
  <c r="T24" i="2" s="1"/>
  <c r="Q298" i="2"/>
  <c r="R298" i="2" s="1"/>
  <c r="S298" i="2"/>
  <c r="T298" i="2" s="1"/>
  <c r="Q42" i="2"/>
  <c r="R42" i="2" s="1"/>
  <c r="S42" i="2"/>
  <c r="T42" i="2" s="1"/>
  <c r="Q153" i="2"/>
  <c r="R153" i="2" s="1"/>
  <c r="S153" i="2"/>
  <c r="T153" i="2" s="1"/>
  <c r="Q264" i="2"/>
  <c r="R264" i="2" s="1"/>
  <c r="S264" i="2"/>
  <c r="T264" i="2" s="1"/>
  <c r="S204" i="2"/>
  <c r="T204" i="2" s="1"/>
  <c r="Q204" i="2"/>
  <c r="R204" i="2" s="1"/>
  <c r="Q103" i="2"/>
  <c r="R103" i="2" s="1"/>
  <c r="S103" i="2"/>
  <c r="T103" i="2" s="1"/>
  <c r="S166" i="2"/>
  <c r="T166" i="2" s="1"/>
  <c r="Q166" i="2"/>
  <c r="R166" i="2" s="1"/>
  <c r="S229" i="2"/>
  <c r="T229" i="2" s="1"/>
  <c r="Q229" i="2"/>
  <c r="R229" i="2" s="1"/>
  <c r="S292" i="2"/>
  <c r="T292" i="2" s="1"/>
  <c r="Q292" i="2"/>
  <c r="R292" i="2" s="1"/>
  <c r="S36" i="2"/>
  <c r="T36" i="2" s="1"/>
  <c r="Q36" i="2"/>
  <c r="R36" i="2" s="1"/>
  <c r="S300" i="2"/>
  <c r="T300" i="2" s="1"/>
  <c r="Q300" i="2"/>
  <c r="R300" i="2" s="1"/>
  <c r="S162" i="2"/>
  <c r="T162" i="2" s="1"/>
  <c r="Q162" i="2"/>
  <c r="R162" i="2" s="1"/>
  <c r="S193" i="2"/>
  <c r="T193" i="2" s="1"/>
  <c r="Q193" i="2"/>
  <c r="R193" i="2" s="1"/>
  <c r="S259" i="2"/>
  <c r="T259" i="2" s="1"/>
  <c r="Q259" i="2"/>
  <c r="R259" i="2" s="1"/>
  <c r="S64" i="2"/>
  <c r="T64" i="2" s="1"/>
  <c r="Q64" i="2"/>
  <c r="R64" i="2" s="1"/>
  <c r="S191" i="2"/>
  <c r="T191" i="2" s="1"/>
  <c r="Q191" i="2"/>
  <c r="R191" i="2" s="1"/>
  <c r="Q171" i="2"/>
  <c r="R171" i="2" s="1"/>
  <c r="S171" i="2"/>
  <c r="T171" i="2" s="1"/>
  <c r="Q75" i="2"/>
  <c r="R75" i="2" s="1"/>
  <c r="S75" i="2"/>
  <c r="T75" i="2" s="1"/>
  <c r="S95" i="2"/>
  <c r="T95" i="2" s="1"/>
  <c r="Q95" i="2"/>
  <c r="R95" i="2" s="1"/>
  <c r="S117" i="2"/>
  <c r="T117" i="2" s="1"/>
  <c r="Q117" i="2"/>
  <c r="R117" i="2" s="1"/>
  <c r="Q282" i="2"/>
  <c r="R282" i="2" s="1"/>
  <c r="S282" i="2"/>
  <c r="T282" i="2" s="1"/>
  <c r="Q26" i="2"/>
  <c r="R26" i="2" s="1"/>
  <c r="S26" i="2"/>
  <c r="T26" i="2" s="1"/>
  <c r="Q137" i="2"/>
  <c r="R137" i="2" s="1"/>
  <c r="S137" i="2"/>
  <c r="T137" i="2" s="1"/>
  <c r="Q248" i="2"/>
  <c r="R248" i="2" s="1"/>
  <c r="S248" i="2"/>
  <c r="T248" i="2" s="1"/>
  <c r="S76" i="2"/>
  <c r="T76" i="2" s="1"/>
  <c r="Q76" i="2"/>
  <c r="R76" i="2" s="1"/>
  <c r="S87" i="2"/>
  <c r="T87" i="2" s="1"/>
  <c r="Q87" i="2"/>
  <c r="R87" i="2" s="1"/>
  <c r="S150" i="2"/>
  <c r="T150" i="2" s="1"/>
  <c r="Q150" i="2"/>
  <c r="R150" i="2" s="1"/>
  <c r="S213" i="2"/>
  <c r="T213" i="2" s="1"/>
  <c r="Q213" i="2"/>
  <c r="R213" i="2" s="1"/>
  <c r="S276" i="2"/>
  <c r="T276" i="2" s="1"/>
  <c r="Q276" i="2"/>
  <c r="R276" i="2" s="1"/>
  <c r="S20" i="2"/>
  <c r="T20" i="2" s="1"/>
  <c r="Q20" i="2"/>
  <c r="R20" i="2" s="1"/>
  <c r="S124" i="2"/>
  <c r="T124" i="2" s="1"/>
  <c r="Q124" i="2"/>
  <c r="R124" i="2" s="1"/>
  <c r="S146" i="2"/>
  <c r="T146" i="2" s="1"/>
  <c r="Q146" i="2"/>
  <c r="R146" i="2" s="1"/>
  <c r="S177" i="2"/>
  <c r="T177" i="2" s="1"/>
  <c r="Q177" i="2"/>
  <c r="R177" i="2" s="1"/>
  <c r="S273" i="2"/>
  <c r="T273" i="2" s="1"/>
  <c r="Q273" i="2"/>
  <c r="R273" i="2" s="1"/>
  <c r="S48" i="2"/>
  <c r="T48" i="2" s="1"/>
  <c r="Q48" i="2"/>
  <c r="R48" i="2" s="1"/>
  <c r="S175" i="2"/>
  <c r="T175" i="2" s="1"/>
  <c r="Q175" i="2"/>
  <c r="R175" i="2" s="1"/>
  <c r="S149" i="2"/>
  <c r="T149" i="2" s="1"/>
  <c r="Q149" i="2"/>
  <c r="R149" i="2" s="1"/>
  <c r="S70" i="2"/>
  <c r="T70" i="2" s="1"/>
  <c r="Q70" i="2"/>
  <c r="R70" i="2" s="1"/>
  <c r="S54" i="2"/>
  <c r="T54" i="2" s="1"/>
  <c r="Q54" i="2"/>
  <c r="R54" i="2" s="1"/>
  <c r="Q266" i="2"/>
  <c r="R266" i="2" s="1"/>
  <c r="S266" i="2"/>
  <c r="T266" i="2" s="1"/>
  <c r="Q10" i="2"/>
  <c r="R10" i="2" s="1"/>
  <c r="S10" i="2"/>
  <c r="T10" i="2" s="1"/>
  <c r="Q121" i="2"/>
  <c r="R121" i="2" s="1"/>
  <c r="S121" i="2"/>
  <c r="T121" i="2" s="1"/>
  <c r="S232" i="2"/>
  <c r="T232" i="2" s="1"/>
  <c r="Q232" i="2"/>
  <c r="R232" i="2" s="1"/>
  <c r="Q251" i="2"/>
  <c r="R251" i="2" s="1"/>
  <c r="S251" i="2"/>
  <c r="T251" i="2" s="1"/>
  <c r="S71" i="2"/>
  <c r="T71" i="2" s="1"/>
  <c r="Q71" i="2"/>
  <c r="R71" i="2" s="1"/>
  <c r="S134" i="2"/>
  <c r="T134" i="2" s="1"/>
  <c r="Q134" i="2"/>
  <c r="R134" i="2" s="1"/>
  <c r="S197" i="2"/>
  <c r="T197" i="2" s="1"/>
  <c r="Q197" i="2"/>
  <c r="R197" i="2" s="1"/>
  <c r="S260" i="2"/>
  <c r="T260" i="2" s="1"/>
  <c r="Q260" i="2"/>
  <c r="R260" i="2" s="1"/>
  <c r="Q219" i="2"/>
  <c r="R219" i="2" s="1"/>
  <c r="S219" i="2"/>
  <c r="T219" i="2" s="1"/>
  <c r="S12" i="2"/>
  <c r="T12" i="2" s="1"/>
  <c r="Q12" i="2"/>
  <c r="R12" i="2" s="1"/>
  <c r="S130" i="2"/>
  <c r="T130" i="2" s="1"/>
  <c r="Q130" i="2"/>
  <c r="R130" i="2" s="1"/>
  <c r="S161" i="2"/>
  <c r="T161" i="2" s="1"/>
  <c r="Q161" i="2"/>
  <c r="R161" i="2" s="1"/>
  <c r="S288" i="2"/>
  <c r="T288" i="2" s="1"/>
  <c r="Q288" i="2"/>
  <c r="R288" i="2" s="1"/>
  <c r="S32" i="2"/>
  <c r="T32" i="2" s="1"/>
  <c r="Q32" i="2"/>
  <c r="R32" i="2" s="1"/>
  <c r="S159" i="2"/>
  <c r="T159" i="2" s="1"/>
  <c r="Q159" i="2"/>
  <c r="R159" i="2" s="1"/>
  <c r="S179" i="2"/>
  <c r="T179" i="2" s="1"/>
  <c r="Q179" i="2"/>
  <c r="R179" i="2" s="1"/>
  <c r="S163" i="2"/>
  <c r="T163" i="2" s="1"/>
  <c r="Q163" i="2"/>
  <c r="R163" i="2" s="1"/>
  <c r="S172" i="2"/>
  <c r="T172" i="2" s="1"/>
  <c r="Q172" i="2"/>
  <c r="R172" i="2" s="1"/>
  <c r="Q216" i="2"/>
  <c r="R216" i="2" s="1"/>
  <c r="S216" i="2"/>
  <c r="T216" i="2" s="1"/>
  <c r="Q55" i="2"/>
  <c r="R55" i="2" s="1"/>
  <c r="S55" i="2"/>
  <c r="T55" i="2" s="1"/>
  <c r="S181" i="2"/>
  <c r="T181" i="2" s="1"/>
  <c r="Q181" i="2"/>
  <c r="R181" i="2" s="1"/>
  <c r="S244" i="2"/>
  <c r="T244" i="2" s="1"/>
  <c r="Q244" i="2"/>
  <c r="R244" i="2" s="1"/>
  <c r="Q187" i="2"/>
  <c r="R187" i="2" s="1"/>
  <c r="S187" i="2"/>
  <c r="T187" i="2" s="1"/>
  <c r="S114" i="2"/>
  <c r="T114" i="2" s="1"/>
  <c r="Q114" i="2"/>
  <c r="R114" i="2" s="1"/>
  <c r="S145" i="2"/>
  <c r="T145" i="2" s="1"/>
  <c r="Q145" i="2"/>
  <c r="R145" i="2" s="1"/>
  <c r="S272" i="2"/>
  <c r="T272" i="2" s="1"/>
  <c r="Q272" i="2"/>
  <c r="R272" i="2" s="1"/>
  <c r="S16" i="2"/>
  <c r="T16" i="2" s="1"/>
  <c r="Q16" i="2"/>
  <c r="R16" i="2" s="1"/>
  <c r="S143" i="2"/>
  <c r="T143" i="2" s="1"/>
  <c r="Q143" i="2"/>
  <c r="R143" i="2" s="1"/>
  <c r="S82" i="2"/>
  <c r="T82" i="2" s="1"/>
  <c r="Q82" i="2"/>
  <c r="R82" i="2" s="1"/>
  <c r="Q250" i="2"/>
  <c r="R250" i="2" s="1"/>
  <c r="S250" i="2"/>
  <c r="T250" i="2" s="1"/>
  <c r="Q105" i="2"/>
  <c r="R105" i="2" s="1"/>
  <c r="S105" i="2"/>
  <c r="T105" i="2" s="1"/>
  <c r="Q91" i="2"/>
  <c r="R91" i="2" s="1"/>
  <c r="S91" i="2"/>
  <c r="T91" i="2" s="1"/>
  <c r="S118" i="2"/>
  <c r="T118" i="2" s="1"/>
  <c r="Q118" i="2"/>
  <c r="R118" i="2" s="1"/>
  <c r="S275" i="2"/>
  <c r="T275" i="2" s="1"/>
  <c r="Q275" i="2"/>
  <c r="R275" i="2" s="1"/>
  <c r="Q234" i="2"/>
  <c r="R234" i="2" s="1"/>
  <c r="S234" i="2"/>
  <c r="T234" i="2" s="1"/>
  <c r="S60" i="2"/>
  <c r="T60" i="2" s="1"/>
  <c r="Q60" i="2"/>
  <c r="R60" i="2" s="1"/>
  <c r="Q89" i="2"/>
  <c r="R89" i="2" s="1"/>
  <c r="S89" i="2"/>
  <c r="T89" i="2" s="1"/>
  <c r="S200" i="2"/>
  <c r="T200" i="2" s="1"/>
  <c r="Q200" i="2"/>
  <c r="R200" i="2" s="1"/>
  <c r="Q295" i="2"/>
  <c r="R295" i="2" s="1"/>
  <c r="S295" i="2"/>
  <c r="T295" i="2" s="1"/>
  <c r="Q39" i="2"/>
  <c r="R39" i="2" s="1"/>
  <c r="S39" i="2"/>
  <c r="T39" i="2" s="1"/>
  <c r="S102" i="2"/>
  <c r="T102" i="2" s="1"/>
  <c r="Q102" i="2"/>
  <c r="R102" i="2" s="1"/>
  <c r="S165" i="2"/>
  <c r="T165" i="2" s="1"/>
  <c r="Q165" i="2"/>
  <c r="R165" i="2" s="1"/>
  <c r="S228" i="2"/>
  <c r="T228" i="2" s="1"/>
  <c r="Q228" i="2"/>
  <c r="R228" i="2" s="1"/>
  <c r="S195" i="2"/>
  <c r="T195" i="2" s="1"/>
  <c r="Q195" i="2"/>
  <c r="R195" i="2" s="1"/>
  <c r="S27" i="2"/>
  <c r="T27" i="2" s="1"/>
  <c r="Q27" i="2"/>
  <c r="R27" i="2" s="1"/>
  <c r="S98" i="2"/>
  <c r="T98" i="2" s="1"/>
  <c r="Q98" i="2"/>
  <c r="R98" i="2" s="1"/>
  <c r="S129" i="2"/>
  <c r="T129" i="2" s="1"/>
  <c r="Q129" i="2"/>
  <c r="R129" i="2" s="1"/>
  <c r="S256" i="2"/>
  <c r="T256" i="2" s="1"/>
  <c r="Q256" i="2"/>
  <c r="R256" i="2" s="1"/>
  <c r="S156" i="2"/>
  <c r="T156" i="2" s="1"/>
  <c r="Q156" i="2"/>
  <c r="R156" i="2" s="1"/>
  <c r="S127" i="2"/>
  <c r="T127" i="2" s="1"/>
  <c r="Q127" i="2"/>
  <c r="R127" i="2" s="1"/>
  <c r="O8" i="2" l="1"/>
  <c r="P8" i="2" s="1"/>
  <c r="O7" i="2"/>
  <c r="P7" i="2" s="1"/>
  <c r="O6" i="2"/>
  <c r="P6" i="2" s="1"/>
  <c r="S6" i="2" l="1"/>
  <c r="T6" i="2" s="1"/>
  <c r="Q6" i="2"/>
  <c r="R6" i="2" s="1"/>
  <c r="Q7" i="2"/>
  <c r="R7" i="2" s="1"/>
  <c r="S7" i="2"/>
  <c r="T7" i="2" s="1"/>
  <c r="Q8" i="2"/>
  <c r="R8" i="2" s="1"/>
  <c r="S8" i="2"/>
  <c r="T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<sst xmlns="http://schemas.openxmlformats.org/spreadsheetml/2006/main" count="89" uniqueCount="53">
  <si>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</si>
  <si>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</si>
  <si>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</si>
  <si>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</si>
  <si>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</si>
  <si>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</si>
  <si>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</si>
  <si>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</si>
  <si>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</si>
  <si>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</si>
  <si>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</si>
  <si>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</si>
  <si>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</si>
  <si>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</si>
  <si>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</si>
  <si>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?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</si>
  <si>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</si>
  <si>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</si>
  <si>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</si>
  <si>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</si>
  <si>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</si>
  <si>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</si>
  <si>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</si>
  <si>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</si>
  <si>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</si>
  <si>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</si>
  <si>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</si>
  <si>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</si>
  <si>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</si>
  <si>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</si>
  <si>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</si>
  <si>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</si>
  <si>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Outcome</t>
  </si>
  <si>
    <t>Difference</t>
  </si>
  <si>
    <t>Likilyhood</t>
  </si>
  <si>
    <t>Ln(Likilyhood)</t>
  </si>
  <si>
    <t>To-maximize</t>
  </si>
  <si>
    <t>total Diff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</si>
  <si>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</si>
  <si>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</si>
  <si>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</si>
  <si>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</si>
  <si>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</si>
  <si>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</si>
  <si>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</si>
  <si>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</si>
  <si>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</si>
  <si>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</si>
  <si>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</si>
  <si>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</si>
  <si>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</si>
  <si>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To-minimize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</si>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</sst>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4" fillId="0" borderId="0" xfId="0" applyFont="1" applyAlignme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285749</xdr:colOff>
      <xdr:row>0</xdr:row>
      <xdr:rowOff>38100</xdr:rowOff>
    </xdr:from>
    <xdr:to>
      <xdr:col>24</xdr:col>
      <xdr:colOff>133350</xdr:colOff>
      <xdr:row>34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05549" y="38100"/>
          <a:ext cx="5943601" cy="661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16C378-109B-42F4-9571-C22ECFAFF33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VIWx-9bmmThfvGSYJfIxs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workbookViewId="0">
      <selection activeCell="I14" sqref="I14"/>
    </sheetView>
  </sheetViews>
  <sheetFormatPr defaultRowHeight="15" x14ac:dyDescent="0.25"/>
  <cols>
    <col min="1" max="1" width="7.5703125" customWidth="1"/>
    <col min="2" max="2" width="6.42578125" customWidth="1"/>
    <col min="3" max="3" width="6.85546875" customWidth="1"/>
    <col min="4" max="4" width="7.5703125" bestFit="1" customWidth="1"/>
    <col min="5" max="5" width="6.85546875" customWidth="1"/>
    <col min="6" max="6" width="5.42578125" customWidth="1"/>
    <col min="7" max="7" width="6.7109375" bestFit="1" customWidth="1"/>
    <col min="8" max="8" width="6.85546875" bestFit="1" customWidth="1"/>
    <col min="9" max="9" width="5.7109375" bestFit="1" customWidth="1"/>
    <col min="10" max="10" width="7.42578125" bestFit="1" customWidth="1"/>
    <col min="11" max="11" width="5.28515625" bestFit="1" customWidth="1"/>
    <col min="12" max="12" width="5.140625" customWidth="1"/>
    <col min="13" max="13" width="5.85546875" customWidth="1"/>
    <col min="14" max="14" width="6.5703125" customWidth="1"/>
  </cols>
  <sheetData>
    <row r="1" spans="1:14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25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</row>
    <row r="4" spans="1:14" x14ac:dyDescent="0.25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25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25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25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25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</row>
    <row r="9" spans="1:14" x14ac:dyDescent="0.25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25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</row>
    <row r="11" spans="1:14" x14ac:dyDescent="0.25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25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25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25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</row>
    <row r="15" spans="1:14" x14ac:dyDescent="0.25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25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25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25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25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25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25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25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25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25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25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</row>
    <row r="26" spans="1:14" x14ac:dyDescent="0.25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</row>
    <row r="27" spans="1:14" x14ac:dyDescent="0.25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25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25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25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25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</row>
    <row r="32" spans="1:14" x14ac:dyDescent="0.25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25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</row>
    <row r="34" spans="1:14" x14ac:dyDescent="0.25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25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25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25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25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</row>
    <row r="39" spans="1:14" x14ac:dyDescent="0.25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25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</row>
    <row r="41" spans="1:14" x14ac:dyDescent="0.25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25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</row>
    <row r="43" spans="1:14" x14ac:dyDescent="0.25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25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25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25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25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</row>
    <row r="48" spans="1:14" x14ac:dyDescent="0.25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25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</row>
    <row r="50" spans="1:14" x14ac:dyDescent="0.25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25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25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25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25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1</v>
      </c>
    </row>
    <row r="55" spans="1:14" x14ac:dyDescent="0.25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25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25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25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25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25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25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25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1</v>
      </c>
    </row>
    <row r="63" spans="1:14" x14ac:dyDescent="0.25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25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25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25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1</v>
      </c>
    </row>
    <row r="67" spans="1:14" x14ac:dyDescent="0.25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1</v>
      </c>
    </row>
    <row r="68" spans="1:14" x14ac:dyDescent="0.25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25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25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1</v>
      </c>
    </row>
    <row r="71" spans="1:14" x14ac:dyDescent="0.25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25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25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1</v>
      </c>
    </row>
    <row r="74" spans="1:14" x14ac:dyDescent="0.25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25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25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25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25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25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25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25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1</v>
      </c>
    </row>
    <row r="82" spans="1:14" x14ac:dyDescent="0.25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25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25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25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1</v>
      </c>
    </row>
    <row r="86" spans="1:14" x14ac:dyDescent="0.25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25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25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25">
      <c r="A89">
        <v>53</v>
      </c>
      <c r="B89">
        <v>0</v>
      </c>
      <c r="C89">
        <v>4</v>
      </c>
      <c r="D89">
        <v>138</v>
      </c>
      <c r="E89">
        <v>234</v>
      </c>
      <c r="F89">
        <v>0</v>
      </c>
      <c r="G89">
        <v>2</v>
      </c>
      <c r="H89">
        <v>160</v>
      </c>
      <c r="I89">
        <v>0</v>
      </c>
      <c r="J89">
        <v>0</v>
      </c>
      <c r="K89">
        <v>1</v>
      </c>
      <c r="L89">
        <v>0</v>
      </c>
      <c r="M89">
        <v>3</v>
      </c>
      <c r="N89">
        <v>0</v>
      </c>
    </row>
    <row r="90" spans="1:14" x14ac:dyDescent="0.25">
      <c r="A90">
        <v>51</v>
      </c>
      <c r="B90">
        <v>0</v>
      </c>
      <c r="C90">
        <v>3</v>
      </c>
      <c r="D90">
        <v>130</v>
      </c>
      <c r="E90">
        <v>256</v>
      </c>
      <c r="F90">
        <v>0</v>
      </c>
      <c r="G90">
        <v>2</v>
      </c>
      <c r="H90">
        <v>149</v>
      </c>
      <c r="I90">
        <v>0</v>
      </c>
      <c r="J90">
        <v>0.5</v>
      </c>
      <c r="K90">
        <v>1</v>
      </c>
      <c r="L90">
        <v>0</v>
      </c>
      <c r="M90">
        <v>3</v>
      </c>
      <c r="N90">
        <v>0</v>
      </c>
    </row>
    <row r="91" spans="1:14" x14ac:dyDescent="0.25">
      <c r="A91">
        <v>66</v>
      </c>
      <c r="B91">
        <v>1</v>
      </c>
      <c r="C91">
        <v>4</v>
      </c>
      <c r="D91">
        <v>120</v>
      </c>
      <c r="E91">
        <v>302</v>
      </c>
      <c r="F91">
        <v>0</v>
      </c>
      <c r="G91">
        <v>2</v>
      </c>
      <c r="H91">
        <v>151</v>
      </c>
      <c r="I91">
        <v>0</v>
      </c>
      <c r="J91">
        <v>0.4</v>
      </c>
      <c r="K91">
        <v>2</v>
      </c>
      <c r="L91">
        <v>0</v>
      </c>
      <c r="M91">
        <v>3</v>
      </c>
      <c r="N91">
        <v>0</v>
      </c>
    </row>
    <row r="92" spans="1:14" x14ac:dyDescent="0.25">
      <c r="A92">
        <v>62</v>
      </c>
      <c r="B92">
        <v>0</v>
      </c>
      <c r="C92">
        <v>4</v>
      </c>
      <c r="D92">
        <v>160</v>
      </c>
      <c r="E92">
        <v>164</v>
      </c>
      <c r="F92">
        <v>0</v>
      </c>
      <c r="G92">
        <v>2</v>
      </c>
      <c r="H92">
        <v>145</v>
      </c>
      <c r="I92">
        <v>0</v>
      </c>
      <c r="J92">
        <v>6.2</v>
      </c>
      <c r="K92">
        <v>3</v>
      </c>
      <c r="L92">
        <v>3</v>
      </c>
      <c r="M92">
        <v>7</v>
      </c>
      <c r="N92">
        <v>1</v>
      </c>
    </row>
    <row r="93" spans="1:14" x14ac:dyDescent="0.25">
      <c r="A93">
        <v>62</v>
      </c>
      <c r="B93">
        <v>1</v>
      </c>
      <c r="C93">
        <v>3</v>
      </c>
      <c r="D93">
        <v>130</v>
      </c>
      <c r="E93">
        <v>231</v>
      </c>
      <c r="F93">
        <v>0</v>
      </c>
      <c r="G93">
        <v>0</v>
      </c>
      <c r="H93">
        <v>146</v>
      </c>
      <c r="I93">
        <v>0</v>
      </c>
      <c r="J93">
        <v>1.8</v>
      </c>
      <c r="K93">
        <v>2</v>
      </c>
      <c r="L93">
        <v>3</v>
      </c>
      <c r="M93">
        <v>7</v>
      </c>
      <c r="N93">
        <v>0</v>
      </c>
    </row>
    <row r="94" spans="1:14" x14ac:dyDescent="0.25">
      <c r="A94">
        <v>44</v>
      </c>
      <c r="B94">
        <v>0</v>
      </c>
      <c r="C94">
        <v>3</v>
      </c>
      <c r="D94">
        <v>108</v>
      </c>
      <c r="E94">
        <v>141</v>
      </c>
      <c r="F94">
        <v>0</v>
      </c>
      <c r="G94">
        <v>0</v>
      </c>
      <c r="H94">
        <v>175</v>
      </c>
      <c r="I94">
        <v>0</v>
      </c>
      <c r="J94">
        <v>0.6</v>
      </c>
      <c r="K94">
        <v>2</v>
      </c>
      <c r="L94">
        <v>0</v>
      </c>
      <c r="M94">
        <v>3</v>
      </c>
      <c r="N94">
        <v>0</v>
      </c>
    </row>
    <row r="95" spans="1:14" x14ac:dyDescent="0.25">
      <c r="A95">
        <v>63</v>
      </c>
      <c r="B95">
        <v>0</v>
      </c>
      <c r="C95">
        <v>3</v>
      </c>
      <c r="D95">
        <v>135</v>
      </c>
      <c r="E95">
        <v>252</v>
      </c>
      <c r="F95">
        <v>0</v>
      </c>
      <c r="G95">
        <v>2</v>
      </c>
      <c r="H95">
        <v>172</v>
      </c>
      <c r="I95">
        <v>0</v>
      </c>
      <c r="J95">
        <v>0</v>
      </c>
      <c r="K95">
        <v>1</v>
      </c>
      <c r="L95">
        <v>0</v>
      </c>
      <c r="M95">
        <v>3</v>
      </c>
      <c r="N95">
        <v>0</v>
      </c>
    </row>
    <row r="96" spans="1:14" x14ac:dyDescent="0.25">
      <c r="A96">
        <v>52</v>
      </c>
      <c r="B96">
        <v>1</v>
      </c>
      <c r="C96">
        <v>4</v>
      </c>
      <c r="D96">
        <v>128</v>
      </c>
      <c r="E96">
        <v>255</v>
      </c>
      <c r="F96">
        <v>0</v>
      </c>
      <c r="G96">
        <v>0</v>
      </c>
      <c r="H96">
        <v>161</v>
      </c>
      <c r="I96">
        <v>1</v>
      </c>
      <c r="J96">
        <v>0</v>
      </c>
      <c r="K96">
        <v>1</v>
      </c>
      <c r="L96">
        <v>1</v>
      </c>
      <c r="M96">
        <v>7</v>
      </c>
      <c r="N96">
        <v>1</v>
      </c>
    </row>
    <row r="97" spans="1:14" x14ac:dyDescent="0.2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</row>
    <row r="98" spans="1:14" x14ac:dyDescent="0.25">
      <c r="A98">
        <v>60</v>
      </c>
      <c r="B98">
        <v>0</v>
      </c>
      <c r="C98">
        <v>4</v>
      </c>
      <c r="D98">
        <v>150</v>
      </c>
      <c r="E98">
        <v>258</v>
      </c>
      <c r="F98">
        <v>0</v>
      </c>
      <c r="G98">
        <v>2</v>
      </c>
      <c r="H98">
        <v>157</v>
      </c>
      <c r="I98">
        <v>0</v>
      </c>
      <c r="J98">
        <v>2.6</v>
      </c>
      <c r="K98">
        <v>2</v>
      </c>
      <c r="L98">
        <v>2</v>
      </c>
      <c r="M98">
        <v>7</v>
      </c>
      <c r="N98">
        <v>1</v>
      </c>
    </row>
    <row r="99" spans="1:14" x14ac:dyDescent="0.25">
      <c r="A99">
        <v>52</v>
      </c>
      <c r="B99">
        <v>1</v>
      </c>
      <c r="C99">
        <v>2</v>
      </c>
      <c r="D99">
        <v>134</v>
      </c>
      <c r="E99">
        <v>201</v>
      </c>
      <c r="F99">
        <v>0</v>
      </c>
      <c r="G99">
        <v>0</v>
      </c>
      <c r="H99">
        <v>158</v>
      </c>
      <c r="I99">
        <v>0</v>
      </c>
      <c r="J99">
        <v>0.8</v>
      </c>
      <c r="K99">
        <v>1</v>
      </c>
      <c r="L99">
        <v>1</v>
      </c>
      <c r="M99">
        <v>3</v>
      </c>
      <c r="N99">
        <v>0</v>
      </c>
    </row>
    <row r="100" spans="1:14" x14ac:dyDescent="0.25">
      <c r="A100">
        <v>48</v>
      </c>
      <c r="B100">
        <v>1</v>
      </c>
      <c r="C100">
        <v>4</v>
      </c>
      <c r="D100">
        <v>122</v>
      </c>
      <c r="E100">
        <v>222</v>
      </c>
      <c r="F100">
        <v>0</v>
      </c>
      <c r="G100">
        <v>2</v>
      </c>
      <c r="H100">
        <v>186</v>
      </c>
      <c r="I100">
        <v>0</v>
      </c>
      <c r="J100">
        <v>0</v>
      </c>
      <c r="K100">
        <v>1</v>
      </c>
      <c r="L100">
        <v>0</v>
      </c>
      <c r="M100">
        <v>3</v>
      </c>
      <c r="N100">
        <v>0</v>
      </c>
    </row>
    <row r="101" spans="1:14" x14ac:dyDescent="0.25">
      <c r="A101">
        <v>45</v>
      </c>
      <c r="B101">
        <v>1</v>
      </c>
      <c r="C101">
        <v>4</v>
      </c>
      <c r="D101">
        <v>115</v>
      </c>
      <c r="E101">
        <v>260</v>
      </c>
      <c r="F101">
        <v>0</v>
      </c>
      <c r="G101">
        <v>2</v>
      </c>
      <c r="H101">
        <v>185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25">
      <c r="A102">
        <v>34</v>
      </c>
      <c r="B102">
        <v>1</v>
      </c>
      <c r="C102">
        <v>1</v>
      </c>
      <c r="D102">
        <v>118</v>
      </c>
      <c r="E102">
        <v>182</v>
      </c>
      <c r="F102">
        <v>0</v>
      </c>
      <c r="G102">
        <v>2</v>
      </c>
      <c r="H102">
        <v>174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25">
      <c r="A103">
        <v>57</v>
      </c>
      <c r="B103">
        <v>0</v>
      </c>
      <c r="C103">
        <v>4</v>
      </c>
      <c r="D103">
        <v>128</v>
      </c>
      <c r="E103">
        <v>303</v>
      </c>
      <c r="F103">
        <v>0</v>
      </c>
      <c r="G103">
        <v>2</v>
      </c>
      <c r="H103">
        <v>159</v>
      </c>
      <c r="I103">
        <v>0</v>
      </c>
      <c r="J103">
        <v>0</v>
      </c>
      <c r="K103">
        <v>1</v>
      </c>
      <c r="L103">
        <v>1</v>
      </c>
      <c r="M103">
        <v>3</v>
      </c>
      <c r="N103">
        <v>0</v>
      </c>
    </row>
    <row r="104" spans="1:14" x14ac:dyDescent="0.25">
      <c r="A104">
        <v>71</v>
      </c>
      <c r="B104">
        <v>0</v>
      </c>
      <c r="C104">
        <v>3</v>
      </c>
      <c r="D104">
        <v>110</v>
      </c>
      <c r="E104">
        <v>265</v>
      </c>
      <c r="F104">
        <v>1</v>
      </c>
      <c r="G104">
        <v>2</v>
      </c>
      <c r="H104">
        <v>130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25">
      <c r="A105">
        <v>49</v>
      </c>
      <c r="B105">
        <v>1</v>
      </c>
      <c r="C105">
        <v>3</v>
      </c>
      <c r="D105">
        <v>120</v>
      </c>
      <c r="E105">
        <v>188</v>
      </c>
      <c r="F105">
        <v>0</v>
      </c>
      <c r="G105">
        <v>0</v>
      </c>
      <c r="H105">
        <v>139</v>
      </c>
      <c r="I105">
        <v>0</v>
      </c>
      <c r="J105">
        <v>2</v>
      </c>
      <c r="K105">
        <v>2</v>
      </c>
      <c r="L105">
        <v>3</v>
      </c>
      <c r="M105">
        <v>7</v>
      </c>
      <c r="N105">
        <v>1</v>
      </c>
    </row>
    <row r="106" spans="1:14" x14ac:dyDescent="0.25">
      <c r="A106">
        <v>54</v>
      </c>
      <c r="B106">
        <v>1</v>
      </c>
      <c r="C106">
        <v>2</v>
      </c>
      <c r="D106">
        <v>108</v>
      </c>
      <c r="E106">
        <v>309</v>
      </c>
      <c r="F106">
        <v>0</v>
      </c>
      <c r="G106">
        <v>0</v>
      </c>
      <c r="H106">
        <v>156</v>
      </c>
      <c r="I106">
        <v>0</v>
      </c>
      <c r="J106">
        <v>0</v>
      </c>
      <c r="K106">
        <v>1</v>
      </c>
      <c r="L106">
        <v>0</v>
      </c>
      <c r="M106">
        <v>7</v>
      </c>
      <c r="N106">
        <v>0</v>
      </c>
    </row>
    <row r="107" spans="1:14" x14ac:dyDescent="0.25">
      <c r="A107">
        <v>59</v>
      </c>
      <c r="B107">
        <v>1</v>
      </c>
      <c r="C107">
        <v>4</v>
      </c>
      <c r="D107">
        <v>140</v>
      </c>
      <c r="E107">
        <v>177</v>
      </c>
      <c r="F107">
        <v>0</v>
      </c>
      <c r="G107">
        <v>0</v>
      </c>
      <c r="H107">
        <v>162</v>
      </c>
      <c r="I107">
        <v>1</v>
      </c>
      <c r="J107">
        <v>0</v>
      </c>
      <c r="K107">
        <v>1</v>
      </c>
      <c r="L107">
        <v>1</v>
      </c>
      <c r="M107">
        <v>7</v>
      </c>
      <c r="N107">
        <v>1</v>
      </c>
    </row>
    <row r="108" spans="1:14" x14ac:dyDescent="0.25">
      <c r="A108">
        <v>57</v>
      </c>
      <c r="B108">
        <v>1</v>
      </c>
      <c r="C108">
        <v>3</v>
      </c>
      <c r="D108">
        <v>128</v>
      </c>
      <c r="E108">
        <v>229</v>
      </c>
      <c r="F108">
        <v>0</v>
      </c>
      <c r="G108">
        <v>2</v>
      </c>
      <c r="H108">
        <v>150</v>
      </c>
      <c r="I108">
        <v>0</v>
      </c>
      <c r="J108">
        <v>0.4</v>
      </c>
      <c r="K108">
        <v>2</v>
      </c>
      <c r="L108">
        <v>1</v>
      </c>
      <c r="M108">
        <v>7</v>
      </c>
      <c r="N108">
        <v>1</v>
      </c>
    </row>
    <row r="109" spans="1:14" x14ac:dyDescent="0.25">
      <c r="A109">
        <v>61</v>
      </c>
      <c r="B109">
        <v>1</v>
      </c>
      <c r="C109">
        <v>4</v>
      </c>
      <c r="D109">
        <v>120</v>
      </c>
      <c r="E109">
        <v>260</v>
      </c>
      <c r="F109">
        <v>0</v>
      </c>
      <c r="G109">
        <v>0</v>
      </c>
      <c r="H109">
        <v>140</v>
      </c>
      <c r="I109">
        <v>1</v>
      </c>
      <c r="J109">
        <v>3.6</v>
      </c>
      <c r="K109">
        <v>2</v>
      </c>
      <c r="L109">
        <v>1</v>
      </c>
      <c r="M109">
        <v>7</v>
      </c>
      <c r="N109">
        <v>1</v>
      </c>
    </row>
    <row r="110" spans="1:14" x14ac:dyDescent="0.25">
      <c r="A110">
        <v>39</v>
      </c>
      <c r="B110">
        <v>1</v>
      </c>
      <c r="C110">
        <v>4</v>
      </c>
      <c r="D110">
        <v>118</v>
      </c>
      <c r="E110">
        <v>219</v>
      </c>
      <c r="F110">
        <v>0</v>
      </c>
      <c r="G110">
        <v>0</v>
      </c>
      <c r="H110">
        <v>140</v>
      </c>
      <c r="I110">
        <v>0</v>
      </c>
      <c r="J110">
        <v>1.2</v>
      </c>
      <c r="K110">
        <v>2</v>
      </c>
      <c r="L110">
        <v>0</v>
      </c>
      <c r="M110">
        <v>7</v>
      </c>
      <c r="N110">
        <v>1</v>
      </c>
    </row>
    <row r="111" spans="1:14" x14ac:dyDescent="0.25">
      <c r="A111">
        <v>61</v>
      </c>
      <c r="B111">
        <v>0</v>
      </c>
      <c r="C111">
        <v>4</v>
      </c>
      <c r="D111">
        <v>145</v>
      </c>
      <c r="E111">
        <v>307</v>
      </c>
      <c r="F111">
        <v>0</v>
      </c>
      <c r="G111">
        <v>2</v>
      </c>
      <c r="H111">
        <v>146</v>
      </c>
      <c r="I111">
        <v>1</v>
      </c>
      <c r="J111">
        <v>1</v>
      </c>
      <c r="K111">
        <v>2</v>
      </c>
      <c r="L111">
        <v>0</v>
      </c>
      <c r="M111">
        <v>7</v>
      </c>
      <c r="N111">
        <v>1</v>
      </c>
    </row>
    <row r="112" spans="1:14" x14ac:dyDescent="0.25">
      <c r="A112">
        <v>56</v>
      </c>
      <c r="B112">
        <v>1</v>
      </c>
      <c r="C112">
        <v>4</v>
      </c>
      <c r="D112">
        <v>125</v>
      </c>
      <c r="E112">
        <v>249</v>
      </c>
      <c r="F112">
        <v>1</v>
      </c>
      <c r="G112">
        <v>2</v>
      </c>
      <c r="H112">
        <v>144</v>
      </c>
      <c r="I112">
        <v>1</v>
      </c>
      <c r="J112">
        <v>1.2</v>
      </c>
      <c r="K112">
        <v>2</v>
      </c>
      <c r="L112">
        <v>1</v>
      </c>
      <c r="M112">
        <v>3</v>
      </c>
      <c r="N112">
        <v>1</v>
      </c>
    </row>
    <row r="113" spans="1:14" x14ac:dyDescent="0.25">
      <c r="A113">
        <v>52</v>
      </c>
      <c r="B113">
        <v>1</v>
      </c>
      <c r="C113">
        <v>1</v>
      </c>
      <c r="D113">
        <v>118</v>
      </c>
      <c r="E113">
        <v>186</v>
      </c>
      <c r="F113">
        <v>0</v>
      </c>
      <c r="G113">
        <v>2</v>
      </c>
      <c r="H113">
        <v>190</v>
      </c>
      <c r="I113">
        <v>0</v>
      </c>
      <c r="J113">
        <v>0</v>
      </c>
      <c r="K113">
        <v>2</v>
      </c>
      <c r="L113">
        <v>0</v>
      </c>
      <c r="M113">
        <v>6</v>
      </c>
      <c r="N113">
        <v>0</v>
      </c>
    </row>
    <row r="114" spans="1:14" x14ac:dyDescent="0.25">
      <c r="A114">
        <v>43</v>
      </c>
      <c r="B114">
        <v>0</v>
      </c>
      <c r="C114">
        <v>4</v>
      </c>
      <c r="D114">
        <v>132</v>
      </c>
      <c r="E114">
        <v>341</v>
      </c>
      <c r="F114">
        <v>1</v>
      </c>
      <c r="G114">
        <v>2</v>
      </c>
      <c r="H114">
        <v>136</v>
      </c>
      <c r="I114">
        <v>1</v>
      </c>
      <c r="J114">
        <v>3</v>
      </c>
      <c r="K114">
        <v>2</v>
      </c>
      <c r="L114">
        <v>0</v>
      </c>
      <c r="M114">
        <v>7</v>
      </c>
      <c r="N114">
        <v>1</v>
      </c>
    </row>
    <row r="115" spans="1:14" x14ac:dyDescent="0.25">
      <c r="A115">
        <v>62</v>
      </c>
      <c r="B115">
        <v>0</v>
      </c>
      <c r="C115">
        <v>3</v>
      </c>
      <c r="D115">
        <v>130</v>
      </c>
      <c r="E115">
        <v>263</v>
      </c>
      <c r="F115">
        <v>0</v>
      </c>
      <c r="G115">
        <v>0</v>
      </c>
      <c r="H115">
        <v>97</v>
      </c>
      <c r="I115">
        <v>0</v>
      </c>
      <c r="J115">
        <v>1.2</v>
      </c>
      <c r="K115">
        <v>2</v>
      </c>
      <c r="L115">
        <v>1</v>
      </c>
      <c r="M115">
        <v>7</v>
      </c>
      <c r="N115">
        <v>1</v>
      </c>
    </row>
    <row r="116" spans="1:14" x14ac:dyDescent="0.25">
      <c r="A116">
        <v>41</v>
      </c>
      <c r="B116">
        <v>1</v>
      </c>
      <c r="C116">
        <v>2</v>
      </c>
      <c r="D116">
        <v>135</v>
      </c>
      <c r="E116">
        <v>203</v>
      </c>
      <c r="F116">
        <v>0</v>
      </c>
      <c r="G116">
        <v>0</v>
      </c>
      <c r="H116">
        <v>132</v>
      </c>
      <c r="I116">
        <v>0</v>
      </c>
      <c r="J116">
        <v>0</v>
      </c>
      <c r="K116">
        <v>2</v>
      </c>
      <c r="L116">
        <v>0</v>
      </c>
      <c r="M116">
        <v>6</v>
      </c>
      <c r="N116">
        <v>0</v>
      </c>
    </row>
    <row r="117" spans="1:14" x14ac:dyDescent="0.25">
      <c r="A117">
        <v>58</v>
      </c>
      <c r="B117">
        <v>1</v>
      </c>
      <c r="C117">
        <v>3</v>
      </c>
      <c r="D117">
        <v>140</v>
      </c>
      <c r="E117">
        <v>211</v>
      </c>
      <c r="F117">
        <v>1</v>
      </c>
      <c r="G117">
        <v>2</v>
      </c>
      <c r="H117">
        <v>165</v>
      </c>
      <c r="I117">
        <v>0</v>
      </c>
      <c r="J117">
        <v>0</v>
      </c>
      <c r="K117">
        <v>1</v>
      </c>
      <c r="L117">
        <v>0</v>
      </c>
      <c r="M117">
        <v>3</v>
      </c>
      <c r="N117">
        <v>0</v>
      </c>
    </row>
    <row r="118" spans="1:14" x14ac:dyDescent="0.25">
      <c r="A118">
        <v>35</v>
      </c>
      <c r="B118">
        <v>0</v>
      </c>
      <c r="C118">
        <v>4</v>
      </c>
      <c r="D118">
        <v>138</v>
      </c>
      <c r="E118">
        <v>183</v>
      </c>
      <c r="F118">
        <v>0</v>
      </c>
      <c r="G118">
        <v>0</v>
      </c>
      <c r="H118">
        <v>182</v>
      </c>
      <c r="I118">
        <v>0</v>
      </c>
      <c r="J118">
        <v>1.4</v>
      </c>
      <c r="K118">
        <v>1</v>
      </c>
      <c r="L118">
        <v>0</v>
      </c>
      <c r="M118">
        <v>3</v>
      </c>
      <c r="N118">
        <v>0</v>
      </c>
    </row>
    <row r="119" spans="1:14" x14ac:dyDescent="0.25">
      <c r="A119">
        <v>63</v>
      </c>
      <c r="B119">
        <v>1</v>
      </c>
      <c r="C119">
        <v>4</v>
      </c>
      <c r="D119">
        <v>130</v>
      </c>
      <c r="E119">
        <v>330</v>
      </c>
      <c r="F119">
        <v>1</v>
      </c>
      <c r="G119">
        <v>2</v>
      </c>
      <c r="H119">
        <v>132</v>
      </c>
      <c r="I119">
        <v>1</v>
      </c>
      <c r="J119">
        <v>1.8</v>
      </c>
      <c r="K119">
        <v>1</v>
      </c>
      <c r="L119">
        <v>3</v>
      </c>
      <c r="M119">
        <v>7</v>
      </c>
      <c r="N119">
        <v>1</v>
      </c>
    </row>
    <row r="120" spans="1:14" x14ac:dyDescent="0.25">
      <c r="A120">
        <v>65</v>
      </c>
      <c r="B120">
        <v>1</v>
      </c>
      <c r="C120">
        <v>4</v>
      </c>
      <c r="D120">
        <v>135</v>
      </c>
      <c r="E120">
        <v>254</v>
      </c>
      <c r="F120">
        <v>0</v>
      </c>
      <c r="G120">
        <v>2</v>
      </c>
      <c r="H120">
        <v>127</v>
      </c>
      <c r="I120">
        <v>0</v>
      </c>
      <c r="J120">
        <v>2.8</v>
      </c>
      <c r="K120">
        <v>2</v>
      </c>
      <c r="L120">
        <v>1</v>
      </c>
      <c r="M120">
        <v>7</v>
      </c>
      <c r="N120">
        <v>1</v>
      </c>
    </row>
    <row r="121" spans="1:14" x14ac:dyDescent="0.25">
      <c r="A121">
        <v>48</v>
      </c>
      <c r="B121">
        <v>1</v>
      </c>
      <c r="C121">
        <v>4</v>
      </c>
      <c r="D121">
        <v>130</v>
      </c>
      <c r="E121">
        <v>256</v>
      </c>
      <c r="F121">
        <v>1</v>
      </c>
      <c r="G121">
        <v>2</v>
      </c>
      <c r="H121">
        <v>150</v>
      </c>
      <c r="I121">
        <v>1</v>
      </c>
      <c r="J121">
        <v>0</v>
      </c>
      <c r="K121">
        <v>1</v>
      </c>
      <c r="L121">
        <v>2</v>
      </c>
      <c r="M121">
        <v>7</v>
      </c>
      <c r="N121">
        <v>1</v>
      </c>
    </row>
    <row r="122" spans="1:14" x14ac:dyDescent="0.25">
      <c r="A122">
        <v>63</v>
      </c>
      <c r="B122">
        <v>0</v>
      </c>
      <c r="C122">
        <v>4</v>
      </c>
      <c r="D122">
        <v>150</v>
      </c>
      <c r="E122">
        <v>407</v>
      </c>
      <c r="F122">
        <v>0</v>
      </c>
      <c r="G122">
        <v>2</v>
      </c>
      <c r="H122">
        <v>154</v>
      </c>
      <c r="I122">
        <v>0</v>
      </c>
      <c r="J122">
        <v>4</v>
      </c>
      <c r="K122">
        <v>2</v>
      </c>
      <c r="L122">
        <v>3</v>
      </c>
      <c r="M122">
        <v>7</v>
      </c>
      <c r="N122">
        <v>1</v>
      </c>
    </row>
    <row r="123" spans="1:14" x14ac:dyDescent="0.25">
      <c r="A123">
        <v>51</v>
      </c>
      <c r="B123">
        <v>1</v>
      </c>
      <c r="C123">
        <v>3</v>
      </c>
      <c r="D123">
        <v>100</v>
      </c>
      <c r="E123">
        <v>222</v>
      </c>
      <c r="F123">
        <v>0</v>
      </c>
      <c r="G123">
        <v>0</v>
      </c>
      <c r="H123">
        <v>143</v>
      </c>
      <c r="I123">
        <v>1</v>
      </c>
      <c r="J123">
        <v>1.2</v>
      </c>
      <c r="K123">
        <v>2</v>
      </c>
      <c r="L123">
        <v>0</v>
      </c>
      <c r="M123">
        <v>3</v>
      </c>
      <c r="N123">
        <v>0</v>
      </c>
    </row>
    <row r="124" spans="1:14" x14ac:dyDescent="0.25">
      <c r="A124">
        <v>55</v>
      </c>
      <c r="B124">
        <v>1</v>
      </c>
      <c r="C124">
        <v>4</v>
      </c>
      <c r="D124">
        <v>140</v>
      </c>
      <c r="E124">
        <v>217</v>
      </c>
      <c r="F124">
        <v>0</v>
      </c>
      <c r="G124">
        <v>0</v>
      </c>
      <c r="H124">
        <v>111</v>
      </c>
      <c r="I124">
        <v>1</v>
      </c>
      <c r="J124">
        <v>5.6</v>
      </c>
      <c r="K124">
        <v>3</v>
      </c>
      <c r="L124">
        <v>0</v>
      </c>
      <c r="M124">
        <v>7</v>
      </c>
      <c r="N124">
        <v>1</v>
      </c>
    </row>
    <row r="125" spans="1:14" x14ac:dyDescent="0.25">
      <c r="A125">
        <v>65</v>
      </c>
      <c r="B125">
        <v>1</v>
      </c>
      <c r="C125">
        <v>1</v>
      </c>
      <c r="D125">
        <v>138</v>
      </c>
      <c r="E125">
        <v>282</v>
      </c>
      <c r="F125">
        <v>1</v>
      </c>
      <c r="G125">
        <v>2</v>
      </c>
      <c r="H125">
        <v>174</v>
      </c>
      <c r="I125">
        <v>0</v>
      </c>
      <c r="J125">
        <v>1.4</v>
      </c>
      <c r="K125">
        <v>2</v>
      </c>
      <c r="L125">
        <v>1</v>
      </c>
      <c r="M125">
        <v>3</v>
      </c>
      <c r="N125">
        <v>1</v>
      </c>
    </row>
    <row r="126" spans="1:14" x14ac:dyDescent="0.25">
      <c r="A126">
        <v>45</v>
      </c>
      <c r="B126">
        <v>0</v>
      </c>
      <c r="C126">
        <v>2</v>
      </c>
      <c r="D126">
        <v>130</v>
      </c>
      <c r="E126">
        <v>234</v>
      </c>
      <c r="F126">
        <v>0</v>
      </c>
      <c r="G126">
        <v>2</v>
      </c>
      <c r="H126">
        <v>175</v>
      </c>
      <c r="I126">
        <v>0</v>
      </c>
      <c r="J126">
        <v>0.6</v>
      </c>
      <c r="K126">
        <v>2</v>
      </c>
      <c r="L126">
        <v>0</v>
      </c>
      <c r="M126">
        <v>3</v>
      </c>
      <c r="N126">
        <v>0</v>
      </c>
    </row>
    <row r="127" spans="1:14" x14ac:dyDescent="0.25">
      <c r="A127">
        <v>56</v>
      </c>
      <c r="B127">
        <v>0</v>
      </c>
      <c r="C127">
        <v>4</v>
      </c>
      <c r="D127">
        <v>200</v>
      </c>
      <c r="E127">
        <v>288</v>
      </c>
      <c r="F127">
        <v>1</v>
      </c>
      <c r="G127">
        <v>2</v>
      </c>
      <c r="H127">
        <v>133</v>
      </c>
      <c r="I127">
        <v>1</v>
      </c>
      <c r="J127">
        <v>4</v>
      </c>
      <c r="K127">
        <v>3</v>
      </c>
      <c r="L127">
        <v>2</v>
      </c>
      <c r="M127">
        <v>7</v>
      </c>
      <c r="N127">
        <v>1</v>
      </c>
    </row>
    <row r="128" spans="1:14" x14ac:dyDescent="0.25">
      <c r="A128">
        <v>54</v>
      </c>
      <c r="B128">
        <v>1</v>
      </c>
      <c r="C128">
        <v>4</v>
      </c>
      <c r="D128">
        <v>110</v>
      </c>
      <c r="E128">
        <v>239</v>
      </c>
      <c r="F128">
        <v>0</v>
      </c>
      <c r="G128">
        <v>0</v>
      </c>
      <c r="H128">
        <v>126</v>
      </c>
      <c r="I128">
        <v>1</v>
      </c>
      <c r="J128">
        <v>2.8</v>
      </c>
      <c r="K128">
        <v>2</v>
      </c>
      <c r="L128">
        <v>1</v>
      </c>
      <c r="M128">
        <v>7</v>
      </c>
      <c r="N128">
        <v>1</v>
      </c>
    </row>
    <row r="129" spans="1:14" x14ac:dyDescent="0.25">
      <c r="A129">
        <v>44</v>
      </c>
      <c r="B129">
        <v>1</v>
      </c>
      <c r="C129">
        <v>2</v>
      </c>
      <c r="D129">
        <v>120</v>
      </c>
      <c r="E129">
        <v>220</v>
      </c>
      <c r="F129">
        <v>0</v>
      </c>
      <c r="G129">
        <v>0</v>
      </c>
      <c r="H129">
        <v>170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</row>
    <row r="130" spans="1:14" x14ac:dyDescent="0.25">
      <c r="A130">
        <v>62</v>
      </c>
      <c r="B130">
        <v>0</v>
      </c>
      <c r="C130">
        <v>4</v>
      </c>
      <c r="D130">
        <v>124</v>
      </c>
      <c r="E130">
        <v>209</v>
      </c>
      <c r="F130">
        <v>0</v>
      </c>
      <c r="G130">
        <v>0</v>
      </c>
      <c r="H130">
        <v>163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25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>
        <v>0</v>
      </c>
    </row>
    <row r="132" spans="1:14" x14ac:dyDescent="0.25">
      <c r="A132">
        <v>51</v>
      </c>
      <c r="B132">
        <v>1</v>
      </c>
      <c r="C132">
        <v>3</v>
      </c>
      <c r="D132">
        <v>94</v>
      </c>
      <c r="E132">
        <v>227</v>
      </c>
      <c r="F132">
        <v>0</v>
      </c>
      <c r="G132">
        <v>0</v>
      </c>
      <c r="H132">
        <v>154</v>
      </c>
      <c r="I132">
        <v>1</v>
      </c>
      <c r="J132">
        <v>0</v>
      </c>
      <c r="K132">
        <v>1</v>
      </c>
      <c r="L132">
        <v>1</v>
      </c>
      <c r="M132">
        <v>7</v>
      </c>
      <c r="N132">
        <v>0</v>
      </c>
    </row>
    <row r="133" spans="1:14" x14ac:dyDescent="0.25">
      <c r="A133">
        <v>29</v>
      </c>
      <c r="B133">
        <v>1</v>
      </c>
      <c r="C133">
        <v>2</v>
      </c>
      <c r="D133">
        <v>130</v>
      </c>
      <c r="E133">
        <v>204</v>
      </c>
      <c r="F133">
        <v>0</v>
      </c>
      <c r="G133">
        <v>2</v>
      </c>
      <c r="H133">
        <v>202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</row>
    <row r="134" spans="1:14" x14ac:dyDescent="0.25">
      <c r="A134">
        <v>51</v>
      </c>
      <c r="B134">
        <v>1</v>
      </c>
      <c r="C134">
        <v>4</v>
      </c>
      <c r="D134">
        <v>140</v>
      </c>
      <c r="E134">
        <v>261</v>
      </c>
      <c r="F134">
        <v>0</v>
      </c>
      <c r="G134">
        <v>2</v>
      </c>
      <c r="H134">
        <v>186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25">
      <c r="A135">
        <v>43</v>
      </c>
      <c r="B135">
        <v>0</v>
      </c>
      <c r="C135">
        <v>3</v>
      </c>
      <c r="D135">
        <v>122</v>
      </c>
      <c r="E135">
        <v>213</v>
      </c>
      <c r="F135">
        <v>0</v>
      </c>
      <c r="G135">
        <v>0</v>
      </c>
      <c r="H135">
        <v>165</v>
      </c>
      <c r="I135">
        <v>0</v>
      </c>
      <c r="J135">
        <v>0.2</v>
      </c>
      <c r="K135">
        <v>2</v>
      </c>
      <c r="L135">
        <v>0</v>
      </c>
      <c r="M135">
        <v>3</v>
      </c>
      <c r="N135">
        <v>0</v>
      </c>
    </row>
    <row r="136" spans="1:14" x14ac:dyDescent="0.25">
      <c r="A136">
        <v>55</v>
      </c>
      <c r="B136">
        <v>0</v>
      </c>
      <c r="C136">
        <v>2</v>
      </c>
      <c r="D136">
        <v>135</v>
      </c>
      <c r="E136">
        <v>250</v>
      </c>
      <c r="F136">
        <v>0</v>
      </c>
      <c r="G136">
        <v>2</v>
      </c>
      <c r="H136">
        <v>161</v>
      </c>
      <c r="I136">
        <v>0</v>
      </c>
      <c r="J136">
        <v>1.4</v>
      </c>
      <c r="K136">
        <v>2</v>
      </c>
      <c r="L136">
        <v>0</v>
      </c>
      <c r="M136">
        <v>3</v>
      </c>
      <c r="N136">
        <v>0</v>
      </c>
    </row>
    <row r="137" spans="1:14" x14ac:dyDescent="0.25">
      <c r="A137">
        <v>70</v>
      </c>
      <c r="B137">
        <v>1</v>
      </c>
      <c r="C137">
        <v>4</v>
      </c>
      <c r="D137">
        <v>145</v>
      </c>
      <c r="E137">
        <v>174</v>
      </c>
      <c r="F137">
        <v>0</v>
      </c>
      <c r="G137">
        <v>0</v>
      </c>
      <c r="H137">
        <v>125</v>
      </c>
      <c r="I137">
        <v>1</v>
      </c>
      <c r="J137">
        <v>2.6</v>
      </c>
      <c r="K137">
        <v>3</v>
      </c>
      <c r="L137">
        <v>0</v>
      </c>
      <c r="M137">
        <v>7</v>
      </c>
      <c r="N137">
        <v>1</v>
      </c>
    </row>
    <row r="138" spans="1:14" x14ac:dyDescent="0.25">
      <c r="A138">
        <v>62</v>
      </c>
      <c r="B138">
        <v>1</v>
      </c>
      <c r="C138">
        <v>2</v>
      </c>
      <c r="D138">
        <v>120</v>
      </c>
      <c r="E138">
        <v>281</v>
      </c>
      <c r="F138">
        <v>0</v>
      </c>
      <c r="G138">
        <v>2</v>
      </c>
      <c r="H138">
        <v>103</v>
      </c>
      <c r="I138">
        <v>0</v>
      </c>
      <c r="J138">
        <v>1.4</v>
      </c>
      <c r="K138">
        <v>2</v>
      </c>
      <c r="L138">
        <v>1</v>
      </c>
      <c r="M138">
        <v>7</v>
      </c>
      <c r="N138">
        <v>1</v>
      </c>
    </row>
    <row r="139" spans="1:14" x14ac:dyDescent="0.25">
      <c r="A139">
        <v>35</v>
      </c>
      <c r="B139">
        <v>1</v>
      </c>
      <c r="C139">
        <v>4</v>
      </c>
      <c r="D139">
        <v>120</v>
      </c>
      <c r="E139">
        <v>198</v>
      </c>
      <c r="F139">
        <v>0</v>
      </c>
      <c r="G139">
        <v>0</v>
      </c>
      <c r="H139">
        <v>130</v>
      </c>
      <c r="I139">
        <v>1</v>
      </c>
      <c r="J139">
        <v>1.6</v>
      </c>
      <c r="K139">
        <v>2</v>
      </c>
      <c r="L139">
        <v>0</v>
      </c>
      <c r="M139">
        <v>7</v>
      </c>
      <c r="N139">
        <v>1</v>
      </c>
    </row>
    <row r="140" spans="1:14" x14ac:dyDescent="0.25">
      <c r="A140">
        <v>51</v>
      </c>
      <c r="B140">
        <v>1</v>
      </c>
      <c r="C140">
        <v>3</v>
      </c>
      <c r="D140">
        <v>125</v>
      </c>
      <c r="E140">
        <v>245</v>
      </c>
      <c r="F140">
        <v>1</v>
      </c>
      <c r="G140">
        <v>2</v>
      </c>
      <c r="H140">
        <v>166</v>
      </c>
      <c r="I140">
        <v>0</v>
      </c>
      <c r="J140">
        <v>2.4</v>
      </c>
      <c r="K140">
        <v>2</v>
      </c>
      <c r="L140">
        <v>0</v>
      </c>
      <c r="M140">
        <v>3</v>
      </c>
      <c r="N140">
        <v>0</v>
      </c>
    </row>
    <row r="141" spans="1:14" x14ac:dyDescent="0.25">
      <c r="A141">
        <v>59</v>
      </c>
      <c r="B141">
        <v>1</v>
      </c>
      <c r="C141">
        <v>2</v>
      </c>
      <c r="D141">
        <v>140</v>
      </c>
      <c r="E141">
        <v>221</v>
      </c>
      <c r="F141">
        <v>0</v>
      </c>
      <c r="G141">
        <v>0</v>
      </c>
      <c r="H141">
        <v>164</v>
      </c>
      <c r="I141">
        <v>1</v>
      </c>
      <c r="J141">
        <v>0</v>
      </c>
      <c r="K141">
        <v>1</v>
      </c>
      <c r="L141">
        <v>0</v>
      </c>
      <c r="M141">
        <v>3</v>
      </c>
      <c r="N141">
        <v>0</v>
      </c>
    </row>
    <row r="142" spans="1:14" x14ac:dyDescent="0.25">
      <c r="A142">
        <v>59</v>
      </c>
      <c r="B142">
        <v>1</v>
      </c>
      <c r="C142">
        <v>1</v>
      </c>
      <c r="D142">
        <v>170</v>
      </c>
      <c r="E142">
        <v>288</v>
      </c>
      <c r="F142">
        <v>0</v>
      </c>
      <c r="G142">
        <v>2</v>
      </c>
      <c r="H142">
        <v>159</v>
      </c>
      <c r="I142">
        <v>0</v>
      </c>
      <c r="J142">
        <v>0.2</v>
      </c>
      <c r="K142">
        <v>2</v>
      </c>
      <c r="L142">
        <v>0</v>
      </c>
      <c r="M142">
        <v>7</v>
      </c>
      <c r="N142">
        <v>1</v>
      </c>
    </row>
    <row r="143" spans="1:14" x14ac:dyDescent="0.25">
      <c r="A143">
        <v>52</v>
      </c>
      <c r="B143">
        <v>1</v>
      </c>
      <c r="C143">
        <v>2</v>
      </c>
      <c r="D143">
        <v>128</v>
      </c>
      <c r="E143">
        <v>205</v>
      </c>
      <c r="F143">
        <v>1</v>
      </c>
      <c r="G143">
        <v>0</v>
      </c>
      <c r="H143">
        <v>184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</row>
    <row r="144" spans="1:14" x14ac:dyDescent="0.25">
      <c r="A144">
        <v>64</v>
      </c>
      <c r="B144">
        <v>1</v>
      </c>
      <c r="C144">
        <v>3</v>
      </c>
      <c r="D144">
        <v>125</v>
      </c>
      <c r="E144">
        <v>309</v>
      </c>
      <c r="F144">
        <v>0</v>
      </c>
      <c r="G144">
        <v>0</v>
      </c>
      <c r="H144">
        <v>131</v>
      </c>
      <c r="I144">
        <v>1</v>
      </c>
      <c r="J144">
        <v>1.8</v>
      </c>
      <c r="K144">
        <v>2</v>
      </c>
      <c r="L144">
        <v>0</v>
      </c>
      <c r="M144">
        <v>7</v>
      </c>
      <c r="N144">
        <v>1</v>
      </c>
    </row>
    <row r="145" spans="1:14" x14ac:dyDescent="0.25">
      <c r="A145">
        <v>58</v>
      </c>
      <c r="B145">
        <v>1</v>
      </c>
      <c r="C145">
        <v>3</v>
      </c>
      <c r="D145">
        <v>105</v>
      </c>
      <c r="E145">
        <v>240</v>
      </c>
      <c r="F145">
        <v>0</v>
      </c>
      <c r="G145">
        <v>2</v>
      </c>
      <c r="H145">
        <v>154</v>
      </c>
      <c r="I145">
        <v>1</v>
      </c>
      <c r="J145">
        <v>0.6</v>
      </c>
      <c r="K145">
        <v>2</v>
      </c>
      <c r="L145">
        <v>0</v>
      </c>
      <c r="M145">
        <v>7</v>
      </c>
      <c r="N145">
        <v>0</v>
      </c>
    </row>
    <row r="146" spans="1:14" x14ac:dyDescent="0.25">
      <c r="A146">
        <v>47</v>
      </c>
      <c r="B146">
        <v>1</v>
      </c>
      <c r="C146">
        <v>3</v>
      </c>
      <c r="D146">
        <v>108</v>
      </c>
      <c r="E146">
        <v>243</v>
      </c>
      <c r="F146">
        <v>0</v>
      </c>
      <c r="G146">
        <v>0</v>
      </c>
      <c r="H146">
        <v>152</v>
      </c>
      <c r="I146">
        <v>0</v>
      </c>
      <c r="J146">
        <v>0</v>
      </c>
      <c r="K146">
        <v>1</v>
      </c>
      <c r="L146">
        <v>0</v>
      </c>
      <c r="M146">
        <v>3</v>
      </c>
      <c r="N146">
        <v>1</v>
      </c>
    </row>
    <row r="147" spans="1:14" x14ac:dyDescent="0.25">
      <c r="A147">
        <v>57</v>
      </c>
      <c r="B147">
        <v>1</v>
      </c>
      <c r="C147">
        <v>4</v>
      </c>
      <c r="D147">
        <v>165</v>
      </c>
      <c r="E147">
        <v>289</v>
      </c>
      <c r="F147">
        <v>1</v>
      </c>
      <c r="G147">
        <v>2</v>
      </c>
      <c r="H147">
        <v>124</v>
      </c>
      <c r="I147">
        <v>0</v>
      </c>
      <c r="J147">
        <v>1</v>
      </c>
      <c r="K147">
        <v>2</v>
      </c>
      <c r="L147">
        <v>3</v>
      </c>
      <c r="M147">
        <v>7</v>
      </c>
      <c r="N147">
        <v>1</v>
      </c>
    </row>
    <row r="148" spans="1:14" x14ac:dyDescent="0.25">
      <c r="A148">
        <v>41</v>
      </c>
      <c r="B148">
        <v>1</v>
      </c>
      <c r="C148">
        <v>3</v>
      </c>
      <c r="D148">
        <v>112</v>
      </c>
      <c r="E148">
        <v>250</v>
      </c>
      <c r="F148">
        <v>0</v>
      </c>
      <c r="G148">
        <v>0</v>
      </c>
      <c r="H148">
        <v>179</v>
      </c>
      <c r="I148">
        <v>0</v>
      </c>
      <c r="J148">
        <v>0</v>
      </c>
      <c r="K148">
        <v>1</v>
      </c>
      <c r="L148">
        <v>0</v>
      </c>
      <c r="M148">
        <v>3</v>
      </c>
      <c r="N148">
        <v>0</v>
      </c>
    </row>
    <row r="149" spans="1:14" x14ac:dyDescent="0.25">
      <c r="A149">
        <v>45</v>
      </c>
      <c r="B149">
        <v>1</v>
      </c>
      <c r="C149">
        <v>2</v>
      </c>
      <c r="D149">
        <v>128</v>
      </c>
      <c r="E149">
        <v>308</v>
      </c>
      <c r="F149">
        <v>0</v>
      </c>
      <c r="G149">
        <v>2</v>
      </c>
      <c r="H149">
        <v>170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25">
      <c r="A150">
        <v>60</v>
      </c>
      <c r="B150">
        <v>0</v>
      </c>
      <c r="C150">
        <v>3</v>
      </c>
      <c r="D150">
        <v>102</v>
      </c>
      <c r="E150">
        <v>318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1</v>
      </c>
      <c r="M150">
        <v>3</v>
      </c>
      <c r="N150">
        <v>0</v>
      </c>
    </row>
    <row r="151" spans="1:14" x14ac:dyDescent="0.25">
      <c r="A151">
        <v>52</v>
      </c>
      <c r="B151">
        <v>1</v>
      </c>
      <c r="C151">
        <v>1</v>
      </c>
      <c r="D151">
        <v>152</v>
      </c>
      <c r="E151">
        <v>298</v>
      </c>
      <c r="F151">
        <v>1</v>
      </c>
      <c r="G151">
        <v>0</v>
      </c>
      <c r="H151">
        <v>178</v>
      </c>
      <c r="I151">
        <v>0</v>
      </c>
      <c r="J151">
        <v>1.2</v>
      </c>
      <c r="K151">
        <v>2</v>
      </c>
      <c r="L151">
        <v>0</v>
      </c>
      <c r="M151">
        <v>7</v>
      </c>
      <c r="N151">
        <v>0</v>
      </c>
    </row>
    <row r="152" spans="1:14" x14ac:dyDescent="0.25">
      <c r="A152">
        <v>42</v>
      </c>
      <c r="B152">
        <v>0</v>
      </c>
      <c r="C152">
        <v>4</v>
      </c>
      <c r="D152">
        <v>102</v>
      </c>
      <c r="E152">
        <v>265</v>
      </c>
      <c r="F152">
        <v>0</v>
      </c>
      <c r="G152">
        <v>2</v>
      </c>
      <c r="H152">
        <v>122</v>
      </c>
      <c r="I152">
        <v>0</v>
      </c>
      <c r="J152">
        <v>0.6</v>
      </c>
      <c r="K152">
        <v>2</v>
      </c>
      <c r="L152">
        <v>0</v>
      </c>
      <c r="M152">
        <v>3</v>
      </c>
      <c r="N152">
        <v>0</v>
      </c>
    </row>
    <row r="153" spans="1:14" x14ac:dyDescent="0.25">
      <c r="A153">
        <v>67</v>
      </c>
      <c r="B153">
        <v>0</v>
      </c>
      <c r="C153">
        <v>3</v>
      </c>
      <c r="D153">
        <v>115</v>
      </c>
      <c r="E153">
        <v>564</v>
      </c>
      <c r="F153">
        <v>0</v>
      </c>
      <c r="G153">
        <v>2</v>
      </c>
      <c r="H153">
        <v>160</v>
      </c>
      <c r="I153">
        <v>0</v>
      </c>
      <c r="J153">
        <v>1.6</v>
      </c>
      <c r="K153">
        <v>2</v>
      </c>
      <c r="L153">
        <v>0</v>
      </c>
      <c r="M153">
        <v>7</v>
      </c>
      <c r="N153">
        <v>0</v>
      </c>
    </row>
    <row r="154" spans="1:14" x14ac:dyDescent="0.25">
      <c r="A154">
        <v>55</v>
      </c>
      <c r="B154">
        <v>1</v>
      </c>
      <c r="C154">
        <v>4</v>
      </c>
      <c r="D154">
        <v>160</v>
      </c>
      <c r="E154">
        <v>289</v>
      </c>
      <c r="F154">
        <v>0</v>
      </c>
      <c r="G154">
        <v>2</v>
      </c>
      <c r="H154">
        <v>145</v>
      </c>
      <c r="I154">
        <v>1</v>
      </c>
      <c r="J154">
        <v>0.8</v>
      </c>
      <c r="K154">
        <v>2</v>
      </c>
      <c r="L154">
        <v>1</v>
      </c>
      <c r="M154">
        <v>7</v>
      </c>
      <c r="N154">
        <v>1</v>
      </c>
    </row>
    <row r="155" spans="1:14" x14ac:dyDescent="0.25">
      <c r="A155">
        <v>64</v>
      </c>
      <c r="B155">
        <v>1</v>
      </c>
      <c r="C155">
        <v>4</v>
      </c>
      <c r="D155">
        <v>120</v>
      </c>
      <c r="E155">
        <v>246</v>
      </c>
      <c r="F155">
        <v>0</v>
      </c>
      <c r="G155">
        <v>2</v>
      </c>
      <c r="H155">
        <v>96</v>
      </c>
      <c r="I155">
        <v>1</v>
      </c>
      <c r="J155">
        <v>2.2000000000000002</v>
      </c>
      <c r="K155">
        <v>3</v>
      </c>
      <c r="L155">
        <v>1</v>
      </c>
      <c r="M155">
        <v>3</v>
      </c>
      <c r="N155">
        <v>1</v>
      </c>
    </row>
    <row r="156" spans="1:14" x14ac:dyDescent="0.25">
      <c r="A156">
        <v>70</v>
      </c>
      <c r="B156">
        <v>1</v>
      </c>
      <c r="C156">
        <v>4</v>
      </c>
      <c r="D156">
        <v>130</v>
      </c>
      <c r="E156">
        <v>322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2</v>
      </c>
      <c r="L156">
        <v>3</v>
      </c>
      <c r="M156">
        <v>3</v>
      </c>
      <c r="N156">
        <v>1</v>
      </c>
    </row>
    <row r="157" spans="1:14" x14ac:dyDescent="0.25">
      <c r="A157">
        <v>51</v>
      </c>
      <c r="B157">
        <v>1</v>
      </c>
      <c r="C157">
        <v>4</v>
      </c>
      <c r="D157">
        <v>140</v>
      </c>
      <c r="E157">
        <v>299</v>
      </c>
      <c r="F157">
        <v>0</v>
      </c>
      <c r="G157">
        <v>0</v>
      </c>
      <c r="H157">
        <v>173</v>
      </c>
      <c r="I157">
        <v>1</v>
      </c>
      <c r="J157">
        <v>1.6</v>
      </c>
      <c r="K157">
        <v>1</v>
      </c>
      <c r="L157">
        <v>0</v>
      </c>
      <c r="M157">
        <v>7</v>
      </c>
      <c r="N157">
        <v>1</v>
      </c>
    </row>
    <row r="158" spans="1:14" x14ac:dyDescent="0.25">
      <c r="A158">
        <v>58</v>
      </c>
      <c r="B158">
        <v>1</v>
      </c>
      <c r="C158">
        <v>4</v>
      </c>
      <c r="D158">
        <v>125</v>
      </c>
      <c r="E158">
        <v>300</v>
      </c>
      <c r="F158">
        <v>0</v>
      </c>
      <c r="G158">
        <v>2</v>
      </c>
      <c r="H158">
        <v>171</v>
      </c>
      <c r="I158">
        <v>0</v>
      </c>
      <c r="J158">
        <v>0</v>
      </c>
      <c r="K158">
        <v>1</v>
      </c>
      <c r="L158">
        <v>2</v>
      </c>
      <c r="M158">
        <v>7</v>
      </c>
      <c r="N158">
        <v>1</v>
      </c>
    </row>
    <row r="159" spans="1:14" x14ac:dyDescent="0.25">
      <c r="A159">
        <v>60</v>
      </c>
      <c r="B159">
        <v>1</v>
      </c>
      <c r="C159">
        <v>4</v>
      </c>
      <c r="D159">
        <v>140</v>
      </c>
      <c r="E159">
        <v>293</v>
      </c>
      <c r="F159">
        <v>0</v>
      </c>
      <c r="G159">
        <v>2</v>
      </c>
      <c r="H159">
        <v>170</v>
      </c>
      <c r="I159">
        <v>0</v>
      </c>
      <c r="J159">
        <v>1.2</v>
      </c>
      <c r="K159">
        <v>2</v>
      </c>
      <c r="L159">
        <v>2</v>
      </c>
      <c r="M159">
        <v>7</v>
      </c>
      <c r="N159">
        <v>1</v>
      </c>
    </row>
    <row r="160" spans="1:14" x14ac:dyDescent="0.25">
      <c r="A160">
        <v>68</v>
      </c>
      <c r="B160">
        <v>1</v>
      </c>
      <c r="C160">
        <v>3</v>
      </c>
      <c r="D160">
        <v>118</v>
      </c>
      <c r="E160">
        <v>277</v>
      </c>
      <c r="F160">
        <v>0</v>
      </c>
      <c r="G160">
        <v>0</v>
      </c>
      <c r="H160">
        <v>151</v>
      </c>
      <c r="I160">
        <v>0</v>
      </c>
      <c r="J160">
        <v>1</v>
      </c>
      <c r="K160">
        <v>1</v>
      </c>
      <c r="L160">
        <v>1</v>
      </c>
      <c r="M160">
        <v>7</v>
      </c>
      <c r="N160">
        <v>0</v>
      </c>
    </row>
    <row r="161" spans="1:14" x14ac:dyDescent="0.25">
      <c r="A161">
        <v>46</v>
      </c>
      <c r="B161">
        <v>1</v>
      </c>
      <c r="C161">
        <v>2</v>
      </c>
      <c r="D161">
        <v>101</v>
      </c>
      <c r="E161">
        <v>197</v>
      </c>
      <c r="F161">
        <v>1</v>
      </c>
      <c r="G161">
        <v>0</v>
      </c>
      <c r="H161">
        <v>156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0</v>
      </c>
    </row>
    <row r="162" spans="1:14" x14ac:dyDescent="0.25">
      <c r="A162">
        <v>77</v>
      </c>
      <c r="B162">
        <v>1</v>
      </c>
      <c r="C162">
        <v>4</v>
      </c>
      <c r="D162">
        <v>125</v>
      </c>
      <c r="E162">
        <v>304</v>
      </c>
      <c r="F162">
        <v>0</v>
      </c>
      <c r="G162">
        <v>2</v>
      </c>
      <c r="H162">
        <v>162</v>
      </c>
      <c r="I162">
        <v>1</v>
      </c>
      <c r="J162">
        <v>0</v>
      </c>
      <c r="K162">
        <v>1</v>
      </c>
      <c r="L162">
        <v>3</v>
      </c>
      <c r="M162">
        <v>3</v>
      </c>
      <c r="N162">
        <v>1</v>
      </c>
    </row>
    <row r="163" spans="1:14" x14ac:dyDescent="0.25">
      <c r="A163">
        <v>54</v>
      </c>
      <c r="B163">
        <v>0</v>
      </c>
      <c r="C163">
        <v>3</v>
      </c>
      <c r="D163">
        <v>110</v>
      </c>
      <c r="E163">
        <v>214</v>
      </c>
      <c r="F163">
        <v>0</v>
      </c>
      <c r="G163">
        <v>0</v>
      </c>
      <c r="H163">
        <v>158</v>
      </c>
      <c r="I163">
        <v>0</v>
      </c>
      <c r="J163">
        <v>1.6</v>
      </c>
      <c r="K163">
        <v>2</v>
      </c>
      <c r="L163">
        <v>0</v>
      </c>
      <c r="M163">
        <v>3</v>
      </c>
      <c r="N163">
        <v>0</v>
      </c>
    </row>
    <row r="164" spans="1:14" x14ac:dyDescent="0.25">
      <c r="A164">
        <v>58</v>
      </c>
      <c r="B164">
        <v>0</v>
      </c>
      <c r="C164">
        <v>4</v>
      </c>
      <c r="D164">
        <v>100</v>
      </c>
      <c r="E164">
        <v>248</v>
      </c>
      <c r="F164">
        <v>0</v>
      </c>
      <c r="G164">
        <v>2</v>
      </c>
      <c r="H164">
        <v>122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0</v>
      </c>
    </row>
    <row r="165" spans="1:14" x14ac:dyDescent="0.25">
      <c r="A165">
        <v>48</v>
      </c>
      <c r="B165">
        <v>1</v>
      </c>
      <c r="C165">
        <v>3</v>
      </c>
      <c r="D165">
        <v>124</v>
      </c>
      <c r="E165">
        <v>255</v>
      </c>
      <c r="F165">
        <v>1</v>
      </c>
      <c r="G165">
        <v>0</v>
      </c>
      <c r="H165">
        <v>175</v>
      </c>
      <c r="I165">
        <v>0</v>
      </c>
      <c r="J165">
        <v>0</v>
      </c>
      <c r="K165">
        <v>1</v>
      </c>
      <c r="L165">
        <v>2</v>
      </c>
      <c r="M165">
        <v>3</v>
      </c>
      <c r="N165">
        <v>0</v>
      </c>
    </row>
    <row r="166" spans="1:14" x14ac:dyDescent="0.25">
      <c r="A166">
        <v>57</v>
      </c>
      <c r="B166">
        <v>1</v>
      </c>
      <c r="C166">
        <v>4</v>
      </c>
      <c r="D166">
        <v>132</v>
      </c>
      <c r="E166">
        <v>207</v>
      </c>
      <c r="F166">
        <v>0</v>
      </c>
      <c r="G166">
        <v>0</v>
      </c>
      <c r="H166">
        <v>168</v>
      </c>
      <c r="I166">
        <v>1</v>
      </c>
      <c r="J166">
        <v>0</v>
      </c>
      <c r="K166">
        <v>1</v>
      </c>
      <c r="L166">
        <v>0</v>
      </c>
      <c r="M166">
        <v>7</v>
      </c>
      <c r="N166">
        <v>0</v>
      </c>
    </row>
    <row r="167" spans="1:14" x14ac:dyDescent="0.25">
      <c r="A167">
        <v>54</v>
      </c>
      <c r="B167">
        <v>0</v>
      </c>
      <c r="C167">
        <v>2</v>
      </c>
      <c r="D167">
        <v>132</v>
      </c>
      <c r="E167">
        <v>288</v>
      </c>
      <c r="F167">
        <v>1</v>
      </c>
      <c r="G167">
        <v>2</v>
      </c>
      <c r="H167">
        <v>159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0</v>
      </c>
    </row>
    <row r="168" spans="1:14" x14ac:dyDescent="0.25">
      <c r="A168">
        <v>35</v>
      </c>
      <c r="B168">
        <v>1</v>
      </c>
      <c r="C168">
        <v>4</v>
      </c>
      <c r="D168">
        <v>126</v>
      </c>
      <c r="E168">
        <v>282</v>
      </c>
      <c r="F168">
        <v>0</v>
      </c>
      <c r="G168">
        <v>2</v>
      </c>
      <c r="H168">
        <v>156</v>
      </c>
      <c r="I168">
        <v>1</v>
      </c>
      <c r="J168">
        <v>0</v>
      </c>
      <c r="K168">
        <v>1</v>
      </c>
      <c r="L168">
        <v>0</v>
      </c>
      <c r="M168">
        <v>7</v>
      </c>
      <c r="N168">
        <v>1</v>
      </c>
    </row>
    <row r="169" spans="1:14" x14ac:dyDescent="0.25">
      <c r="A169">
        <v>45</v>
      </c>
      <c r="B169">
        <v>0</v>
      </c>
      <c r="C169">
        <v>2</v>
      </c>
      <c r="D169">
        <v>112</v>
      </c>
      <c r="E169">
        <v>160</v>
      </c>
      <c r="F169">
        <v>0</v>
      </c>
      <c r="G169">
        <v>0</v>
      </c>
      <c r="H169">
        <v>138</v>
      </c>
      <c r="I169">
        <v>0</v>
      </c>
      <c r="J169">
        <v>0</v>
      </c>
      <c r="K169">
        <v>2</v>
      </c>
      <c r="L169">
        <v>0</v>
      </c>
      <c r="M169">
        <v>3</v>
      </c>
      <c r="N169">
        <v>0</v>
      </c>
    </row>
    <row r="170" spans="1:14" x14ac:dyDescent="0.25">
      <c r="A170">
        <v>70</v>
      </c>
      <c r="B170">
        <v>1</v>
      </c>
      <c r="C170">
        <v>3</v>
      </c>
      <c r="D170">
        <v>160</v>
      </c>
      <c r="E170">
        <v>269</v>
      </c>
      <c r="F170">
        <v>0</v>
      </c>
      <c r="G170">
        <v>0</v>
      </c>
      <c r="H170">
        <v>112</v>
      </c>
      <c r="I170">
        <v>1</v>
      </c>
      <c r="J170">
        <v>2.9</v>
      </c>
      <c r="K170">
        <v>2</v>
      </c>
      <c r="L170">
        <v>1</v>
      </c>
      <c r="M170">
        <v>7</v>
      </c>
      <c r="N170">
        <v>1</v>
      </c>
    </row>
    <row r="171" spans="1:14" x14ac:dyDescent="0.25">
      <c r="A171">
        <v>53</v>
      </c>
      <c r="B171">
        <v>1</v>
      </c>
      <c r="C171">
        <v>4</v>
      </c>
      <c r="D171">
        <v>142</v>
      </c>
      <c r="E171">
        <v>226</v>
      </c>
      <c r="F171">
        <v>0</v>
      </c>
      <c r="G171">
        <v>2</v>
      </c>
      <c r="H171">
        <v>111</v>
      </c>
      <c r="I171">
        <v>1</v>
      </c>
      <c r="J171">
        <v>0</v>
      </c>
      <c r="K171">
        <v>1</v>
      </c>
      <c r="L171">
        <v>0</v>
      </c>
      <c r="M171">
        <v>7</v>
      </c>
      <c r="N171">
        <v>0</v>
      </c>
    </row>
    <row r="172" spans="1:14" x14ac:dyDescent="0.25">
      <c r="A172">
        <v>59</v>
      </c>
      <c r="B172">
        <v>0</v>
      </c>
      <c r="C172">
        <v>4</v>
      </c>
      <c r="D172">
        <v>174</v>
      </c>
      <c r="E172">
        <v>249</v>
      </c>
      <c r="F172">
        <v>0</v>
      </c>
      <c r="G172">
        <v>0</v>
      </c>
      <c r="H172">
        <v>143</v>
      </c>
      <c r="I172">
        <v>1</v>
      </c>
      <c r="J172">
        <v>0</v>
      </c>
      <c r="K172">
        <v>2</v>
      </c>
      <c r="L172">
        <v>0</v>
      </c>
      <c r="M172">
        <v>3</v>
      </c>
      <c r="N172">
        <v>1</v>
      </c>
    </row>
    <row r="173" spans="1:14" x14ac:dyDescent="0.25">
      <c r="A173">
        <v>62</v>
      </c>
      <c r="B173">
        <v>0</v>
      </c>
      <c r="C173">
        <v>4</v>
      </c>
      <c r="D173">
        <v>140</v>
      </c>
      <c r="E173">
        <v>394</v>
      </c>
      <c r="F173">
        <v>0</v>
      </c>
      <c r="G173">
        <v>2</v>
      </c>
      <c r="H173">
        <v>157</v>
      </c>
      <c r="I173">
        <v>0</v>
      </c>
      <c r="J173">
        <v>1.2</v>
      </c>
      <c r="K173">
        <v>2</v>
      </c>
      <c r="L173">
        <v>0</v>
      </c>
      <c r="M173">
        <v>3</v>
      </c>
      <c r="N173">
        <v>0</v>
      </c>
    </row>
    <row r="174" spans="1:14" x14ac:dyDescent="0.25">
      <c r="A174">
        <v>64</v>
      </c>
      <c r="B174">
        <v>1</v>
      </c>
      <c r="C174">
        <v>4</v>
      </c>
      <c r="D174">
        <v>145</v>
      </c>
      <c r="E174">
        <v>212</v>
      </c>
      <c r="F174">
        <v>0</v>
      </c>
      <c r="G174">
        <v>2</v>
      </c>
      <c r="H174">
        <v>132</v>
      </c>
      <c r="I174">
        <v>0</v>
      </c>
      <c r="J174">
        <v>2</v>
      </c>
      <c r="K174">
        <v>2</v>
      </c>
      <c r="L174">
        <v>2</v>
      </c>
      <c r="M174">
        <v>6</v>
      </c>
      <c r="N174">
        <v>1</v>
      </c>
    </row>
    <row r="175" spans="1:14" x14ac:dyDescent="0.25">
      <c r="A175">
        <v>57</v>
      </c>
      <c r="B175">
        <v>1</v>
      </c>
      <c r="C175">
        <v>4</v>
      </c>
      <c r="D175">
        <v>152</v>
      </c>
      <c r="E175">
        <v>274</v>
      </c>
      <c r="F175">
        <v>0</v>
      </c>
      <c r="G175">
        <v>0</v>
      </c>
      <c r="H175">
        <v>88</v>
      </c>
      <c r="I175">
        <v>1</v>
      </c>
      <c r="J175">
        <v>1.2</v>
      </c>
      <c r="K175">
        <v>2</v>
      </c>
      <c r="L175">
        <v>1</v>
      </c>
      <c r="M175">
        <v>7</v>
      </c>
      <c r="N175">
        <v>1</v>
      </c>
    </row>
    <row r="176" spans="1:14" x14ac:dyDescent="0.25">
      <c r="A176">
        <v>52</v>
      </c>
      <c r="B176">
        <v>1</v>
      </c>
      <c r="C176">
        <v>4</v>
      </c>
      <c r="D176">
        <v>108</v>
      </c>
      <c r="E176">
        <v>233</v>
      </c>
      <c r="F176">
        <v>1</v>
      </c>
      <c r="G176">
        <v>0</v>
      </c>
      <c r="H176">
        <v>147</v>
      </c>
      <c r="I176">
        <v>0</v>
      </c>
      <c r="J176">
        <v>0.1</v>
      </c>
      <c r="K176">
        <v>1</v>
      </c>
      <c r="L176">
        <v>3</v>
      </c>
      <c r="M176">
        <v>7</v>
      </c>
      <c r="N176">
        <v>0</v>
      </c>
    </row>
    <row r="177" spans="1:14" x14ac:dyDescent="0.25">
      <c r="A177">
        <v>56</v>
      </c>
      <c r="B177">
        <v>1</v>
      </c>
      <c r="C177">
        <v>4</v>
      </c>
      <c r="D177">
        <v>132</v>
      </c>
      <c r="E177">
        <v>184</v>
      </c>
      <c r="F177">
        <v>0</v>
      </c>
      <c r="G177">
        <v>2</v>
      </c>
      <c r="H177">
        <v>105</v>
      </c>
      <c r="I177">
        <v>1</v>
      </c>
      <c r="J177">
        <v>2.1</v>
      </c>
      <c r="K177">
        <v>2</v>
      </c>
      <c r="L177">
        <v>1</v>
      </c>
      <c r="M177">
        <v>6</v>
      </c>
      <c r="N177">
        <v>1</v>
      </c>
    </row>
    <row r="178" spans="1:14" x14ac:dyDescent="0.25">
      <c r="A178">
        <v>43</v>
      </c>
      <c r="B178">
        <v>1</v>
      </c>
      <c r="C178">
        <v>3</v>
      </c>
      <c r="D178">
        <v>130</v>
      </c>
      <c r="E178">
        <v>315</v>
      </c>
      <c r="F178">
        <v>0</v>
      </c>
      <c r="G178">
        <v>0</v>
      </c>
      <c r="H178">
        <v>162</v>
      </c>
      <c r="I178">
        <v>0</v>
      </c>
      <c r="J178">
        <v>1.9</v>
      </c>
      <c r="K178">
        <v>1</v>
      </c>
      <c r="L178">
        <v>1</v>
      </c>
      <c r="M178">
        <v>3</v>
      </c>
      <c r="N178">
        <v>0</v>
      </c>
    </row>
    <row r="179" spans="1:14" x14ac:dyDescent="0.25">
      <c r="A179">
        <v>53</v>
      </c>
      <c r="B179">
        <v>1</v>
      </c>
      <c r="C179">
        <v>3</v>
      </c>
      <c r="D179">
        <v>130</v>
      </c>
      <c r="E179">
        <v>246</v>
      </c>
      <c r="F179">
        <v>1</v>
      </c>
      <c r="G179">
        <v>2</v>
      </c>
      <c r="H179">
        <v>173</v>
      </c>
      <c r="I179">
        <v>0</v>
      </c>
      <c r="J179">
        <v>0</v>
      </c>
      <c r="K179">
        <v>1</v>
      </c>
      <c r="L179">
        <v>3</v>
      </c>
      <c r="M179">
        <v>3</v>
      </c>
      <c r="N179">
        <v>0</v>
      </c>
    </row>
    <row r="180" spans="1:14" x14ac:dyDescent="0.25">
      <c r="A180">
        <v>48</v>
      </c>
      <c r="B180">
        <v>1</v>
      </c>
      <c r="C180">
        <v>4</v>
      </c>
      <c r="D180">
        <v>124</v>
      </c>
      <c r="E180">
        <v>274</v>
      </c>
      <c r="F180">
        <v>0</v>
      </c>
      <c r="G180">
        <v>2</v>
      </c>
      <c r="H180">
        <v>166</v>
      </c>
      <c r="I180">
        <v>0</v>
      </c>
      <c r="J180">
        <v>0.5</v>
      </c>
      <c r="K180">
        <v>2</v>
      </c>
      <c r="L180">
        <v>0</v>
      </c>
      <c r="M180">
        <v>7</v>
      </c>
      <c r="N180">
        <v>1</v>
      </c>
    </row>
    <row r="181" spans="1:14" x14ac:dyDescent="0.25">
      <c r="A181">
        <v>56</v>
      </c>
      <c r="B181">
        <v>0</v>
      </c>
      <c r="C181">
        <v>4</v>
      </c>
      <c r="D181">
        <v>134</v>
      </c>
      <c r="E181">
        <v>409</v>
      </c>
      <c r="F181">
        <v>0</v>
      </c>
      <c r="G181">
        <v>2</v>
      </c>
      <c r="H181">
        <v>150</v>
      </c>
      <c r="I181">
        <v>1</v>
      </c>
      <c r="J181">
        <v>1.9</v>
      </c>
      <c r="K181">
        <v>2</v>
      </c>
      <c r="L181">
        <v>2</v>
      </c>
      <c r="M181">
        <v>7</v>
      </c>
      <c r="N181">
        <v>1</v>
      </c>
    </row>
    <row r="182" spans="1:14" x14ac:dyDescent="0.25">
      <c r="A182">
        <v>42</v>
      </c>
      <c r="B182">
        <v>1</v>
      </c>
      <c r="C182">
        <v>1</v>
      </c>
      <c r="D182">
        <v>148</v>
      </c>
      <c r="E182">
        <v>244</v>
      </c>
      <c r="F182">
        <v>0</v>
      </c>
      <c r="G182">
        <v>2</v>
      </c>
      <c r="H182">
        <v>178</v>
      </c>
      <c r="I182">
        <v>0</v>
      </c>
      <c r="J182">
        <v>0.8</v>
      </c>
      <c r="K182">
        <v>1</v>
      </c>
      <c r="L182">
        <v>2</v>
      </c>
      <c r="M182">
        <v>3</v>
      </c>
      <c r="N182">
        <v>0</v>
      </c>
    </row>
    <row r="183" spans="1:14" x14ac:dyDescent="0.25">
      <c r="A183">
        <v>59</v>
      </c>
      <c r="B183">
        <v>1</v>
      </c>
      <c r="C183">
        <v>1</v>
      </c>
      <c r="D183">
        <v>178</v>
      </c>
      <c r="E183">
        <v>270</v>
      </c>
      <c r="F183">
        <v>0</v>
      </c>
      <c r="G183">
        <v>2</v>
      </c>
      <c r="H183">
        <v>145</v>
      </c>
      <c r="I183">
        <v>0</v>
      </c>
      <c r="J183">
        <v>4.2</v>
      </c>
      <c r="K183">
        <v>3</v>
      </c>
      <c r="L183">
        <v>0</v>
      </c>
      <c r="M183">
        <v>7</v>
      </c>
      <c r="N183">
        <v>0</v>
      </c>
    </row>
    <row r="184" spans="1:14" x14ac:dyDescent="0.25">
      <c r="A184">
        <v>60</v>
      </c>
      <c r="B184">
        <v>0</v>
      </c>
      <c r="C184">
        <v>4</v>
      </c>
      <c r="D184">
        <v>158</v>
      </c>
      <c r="E184">
        <v>305</v>
      </c>
      <c r="F184">
        <v>0</v>
      </c>
      <c r="G184">
        <v>2</v>
      </c>
      <c r="H184">
        <v>161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1</v>
      </c>
    </row>
    <row r="185" spans="1:14" x14ac:dyDescent="0.25">
      <c r="A185">
        <v>63</v>
      </c>
      <c r="B185">
        <v>0</v>
      </c>
      <c r="C185">
        <v>2</v>
      </c>
      <c r="D185">
        <v>140</v>
      </c>
      <c r="E185">
        <v>195</v>
      </c>
      <c r="F185">
        <v>0</v>
      </c>
      <c r="G185">
        <v>0</v>
      </c>
      <c r="H185">
        <v>179</v>
      </c>
      <c r="I185">
        <v>0</v>
      </c>
      <c r="J185">
        <v>0</v>
      </c>
      <c r="K185">
        <v>1</v>
      </c>
      <c r="L185">
        <v>2</v>
      </c>
      <c r="M185">
        <v>3</v>
      </c>
      <c r="N185">
        <v>0</v>
      </c>
    </row>
    <row r="186" spans="1:14" x14ac:dyDescent="0.25">
      <c r="A186">
        <v>42</v>
      </c>
      <c r="B186">
        <v>1</v>
      </c>
      <c r="C186">
        <v>3</v>
      </c>
      <c r="D186">
        <v>120</v>
      </c>
      <c r="E186">
        <v>240</v>
      </c>
      <c r="F186">
        <v>1</v>
      </c>
      <c r="G186">
        <v>0</v>
      </c>
      <c r="H186">
        <v>194</v>
      </c>
      <c r="I186">
        <v>0</v>
      </c>
      <c r="J186">
        <v>0.8</v>
      </c>
      <c r="K186">
        <v>3</v>
      </c>
      <c r="L186">
        <v>0</v>
      </c>
      <c r="M186">
        <v>7</v>
      </c>
      <c r="N186">
        <v>0</v>
      </c>
    </row>
    <row r="187" spans="1:14" x14ac:dyDescent="0.25">
      <c r="A187">
        <v>66</v>
      </c>
      <c r="B187">
        <v>1</v>
      </c>
      <c r="C187">
        <v>2</v>
      </c>
      <c r="D187">
        <v>160</v>
      </c>
      <c r="E187">
        <v>246</v>
      </c>
      <c r="F187">
        <v>0</v>
      </c>
      <c r="G187">
        <v>0</v>
      </c>
      <c r="H187">
        <v>120</v>
      </c>
      <c r="I187">
        <v>1</v>
      </c>
      <c r="J187">
        <v>0</v>
      </c>
      <c r="K187">
        <v>2</v>
      </c>
      <c r="L187">
        <v>3</v>
      </c>
      <c r="M187">
        <v>6</v>
      </c>
      <c r="N187">
        <v>1</v>
      </c>
    </row>
    <row r="188" spans="1:14" x14ac:dyDescent="0.25">
      <c r="A188">
        <v>54</v>
      </c>
      <c r="B188">
        <v>1</v>
      </c>
      <c r="C188">
        <v>2</v>
      </c>
      <c r="D188">
        <v>192</v>
      </c>
      <c r="E188">
        <v>283</v>
      </c>
      <c r="F188">
        <v>0</v>
      </c>
      <c r="G188">
        <v>2</v>
      </c>
      <c r="H188">
        <v>195</v>
      </c>
      <c r="I188">
        <v>0</v>
      </c>
      <c r="J188">
        <v>0</v>
      </c>
      <c r="K188">
        <v>1</v>
      </c>
      <c r="L188">
        <v>1</v>
      </c>
      <c r="M188">
        <v>7</v>
      </c>
      <c r="N188">
        <v>1</v>
      </c>
    </row>
    <row r="189" spans="1:14" x14ac:dyDescent="0.25">
      <c r="A189">
        <v>69</v>
      </c>
      <c r="B189">
        <v>1</v>
      </c>
      <c r="C189">
        <v>3</v>
      </c>
      <c r="D189">
        <v>140</v>
      </c>
      <c r="E189">
        <v>254</v>
      </c>
      <c r="F189">
        <v>0</v>
      </c>
      <c r="G189">
        <v>2</v>
      </c>
      <c r="H189">
        <v>146</v>
      </c>
      <c r="I189">
        <v>0</v>
      </c>
      <c r="J189">
        <v>2</v>
      </c>
      <c r="K189">
        <v>2</v>
      </c>
      <c r="L189">
        <v>3</v>
      </c>
      <c r="M189">
        <v>7</v>
      </c>
      <c r="N189">
        <v>1</v>
      </c>
    </row>
    <row r="190" spans="1:14" x14ac:dyDescent="0.25">
      <c r="A190">
        <v>50</v>
      </c>
      <c r="B190">
        <v>1</v>
      </c>
      <c r="C190">
        <v>3</v>
      </c>
      <c r="D190">
        <v>129</v>
      </c>
      <c r="E190">
        <v>196</v>
      </c>
      <c r="F190">
        <v>0</v>
      </c>
      <c r="G190">
        <v>0</v>
      </c>
      <c r="H190">
        <v>163</v>
      </c>
      <c r="I190">
        <v>0</v>
      </c>
      <c r="J190">
        <v>0</v>
      </c>
      <c r="K190">
        <v>1</v>
      </c>
      <c r="L190">
        <v>0</v>
      </c>
      <c r="M190">
        <v>3</v>
      </c>
      <c r="N190">
        <v>0</v>
      </c>
    </row>
    <row r="191" spans="1:14" x14ac:dyDescent="0.25">
      <c r="A191">
        <v>51</v>
      </c>
      <c r="B191">
        <v>1</v>
      </c>
      <c r="C191">
        <v>4</v>
      </c>
      <c r="D191">
        <v>140</v>
      </c>
      <c r="E191">
        <v>298</v>
      </c>
      <c r="F191">
        <v>0</v>
      </c>
      <c r="G191">
        <v>0</v>
      </c>
      <c r="H191">
        <v>122</v>
      </c>
      <c r="I191">
        <v>1</v>
      </c>
      <c r="J191">
        <v>4.2</v>
      </c>
      <c r="K191">
        <v>2</v>
      </c>
      <c r="L191">
        <v>3</v>
      </c>
      <c r="M191">
        <v>7</v>
      </c>
      <c r="N191">
        <v>1</v>
      </c>
    </row>
    <row r="192" spans="1:14" x14ac:dyDescent="0.25">
      <c r="A192">
        <v>62</v>
      </c>
      <c r="B192">
        <v>0</v>
      </c>
      <c r="C192">
        <v>4</v>
      </c>
      <c r="D192">
        <v>138</v>
      </c>
      <c r="E192">
        <v>294</v>
      </c>
      <c r="F192">
        <v>1</v>
      </c>
      <c r="G192">
        <v>0</v>
      </c>
      <c r="H192">
        <v>106</v>
      </c>
      <c r="I192">
        <v>0</v>
      </c>
      <c r="J192">
        <v>1.9</v>
      </c>
      <c r="K192">
        <v>2</v>
      </c>
      <c r="L192">
        <v>3</v>
      </c>
      <c r="M192">
        <v>3</v>
      </c>
      <c r="N192">
        <v>1</v>
      </c>
    </row>
    <row r="193" spans="1:14" x14ac:dyDescent="0.25">
      <c r="A193">
        <v>68</v>
      </c>
      <c r="B193">
        <v>0</v>
      </c>
      <c r="C193">
        <v>3</v>
      </c>
      <c r="D193">
        <v>120</v>
      </c>
      <c r="E193">
        <v>211</v>
      </c>
      <c r="F193">
        <v>0</v>
      </c>
      <c r="G193">
        <v>2</v>
      </c>
      <c r="H193">
        <v>115</v>
      </c>
      <c r="I193">
        <v>0</v>
      </c>
      <c r="J193">
        <v>1.5</v>
      </c>
      <c r="K193">
        <v>2</v>
      </c>
      <c r="L193">
        <v>0</v>
      </c>
      <c r="M193">
        <v>3</v>
      </c>
      <c r="N193">
        <v>0</v>
      </c>
    </row>
    <row r="194" spans="1:14" x14ac:dyDescent="0.25">
      <c r="A194">
        <v>67</v>
      </c>
      <c r="B194">
        <v>1</v>
      </c>
      <c r="C194">
        <v>4</v>
      </c>
      <c r="D194">
        <v>100</v>
      </c>
      <c r="E194">
        <v>299</v>
      </c>
      <c r="F194">
        <v>0</v>
      </c>
      <c r="G194">
        <v>2</v>
      </c>
      <c r="H194">
        <v>125</v>
      </c>
      <c r="I194">
        <v>1</v>
      </c>
      <c r="J194">
        <v>0.9</v>
      </c>
      <c r="K194">
        <v>2</v>
      </c>
      <c r="L194">
        <v>2</v>
      </c>
      <c r="M194">
        <v>3</v>
      </c>
      <c r="N194">
        <v>1</v>
      </c>
    </row>
    <row r="195" spans="1:14" x14ac:dyDescent="0.25">
      <c r="A195">
        <v>69</v>
      </c>
      <c r="B195">
        <v>1</v>
      </c>
      <c r="C195">
        <v>1</v>
      </c>
      <c r="D195">
        <v>160</v>
      </c>
      <c r="E195">
        <v>234</v>
      </c>
      <c r="F195">
        <v>1</v>
      </c>
      <c r="G195">
        <v>2</v>
      </c>
      <c r="H195">
        <v>131</v>
      </c>
      <c r="I195">
        <v>0</v>
      </c>
      <c r="J195">
        <v>0.1</v>
      </c>
      <c r="K195">
        <v>2</v>
      </c>
      <c r="L195">
        <v>1</v>
      </c>
      <c r="M195">
        <v>3</v>
      </c>
      <c r="N195">
        <v>0</v>
      </c>
    </row>
    <row r="196" spans="1:14" x14ac:dyDescent="0.25">
      <c r="A196">
        <v>45</v>
      </c>
      <c r="B196">
        <v>0</v>
      </c>
      <c r="C196">
        <v>4</v>
      </c>
      <c r="D196">
        <v>138</v>
      </c>
      <c r="E196">
        <v>236</v>
      </c>
      <c r="F196">
        <v>0</v>
      </c>
      <c r="G196">
        <v>2</v>
      </c>
      <c r="H196">
        <v>152</v>
      </c>
      <c r="I196">
        <v>1</v>
      </c>
      <c r="J196">
        <v>0.2</v>
      </c>
      <c r="K196">
        <v>2</v>
      </c>
      <c r="L196">
        <v>0</v>
      </c>
      <c r="M196">
        <v>3</v>
      </c>
      <c r="N196">
        <v>0</v>
      </c>
    </row>
    <row r="197" spans="1:14" x14ac:dyDescent="0.25">
      <c r="A197">
        <v>50</v>
      </c>
      <c r="B197">
        <v>0</v>
      </c>
      <c r="C197">
        <v>2</v>
      </c>
      <c r="D197">
        <v>120</v>
      </c>
      <c r="E197">
        <v>244</v>
      </c>
      <c r="F197">
        <v>0</v>
      </c>
      <c r="G197">
        <v>0</v>
      </c>
      <c r="H197">
        <v>162</v>
      </c>
      <c r="I197">
        <v>0</v>
      </c>
      <c r="J197">
        <v>1.1000000000000001</v>
      </c>
      <c r="K197">
        <v>1</v>
      </c>
      <c r="L197">
        <v>0</v>
      </c>
      <c r="M197">
        <v>3</v>
      </c>
      <c r="N197">
        <v>0</v>
      </c>
    </row>
    <row r="198" spans="1:14" x14ac:dyDescent="0.25">
      <c r="A198">
        <v>59</v>
      </c>
      <c r="B198">
        <v>1</v>
      </c>
      <c r="C198">
        <v>1</v>
      </c>
      <c r="D198">
        <v>160</v>
      </c>
      <c r="E198">
        <v>273</v>
      </c>
      <c r="F198">
        <v>0</v>
      </c>
      <c r="G198">
        <v>2</v>
      </c>
      <c r="H198">
        <v>125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1</v>
      </c>
    </row>
    <row r="199" spans="1:14" x14ac:dyDescent="0.25">
      <c r="A199">
        <v>50</v>
      </c>
      <c r="B199">
        <v>0</v>
      </c>
      <c r="C199">
        <v>4</v>
      </c>
      <c r="D199">
        <v>110</v>
      </c>
      <c r="E199">
        <v>254</v>
      </c>
      <c r="F199">
        <v>0</v>
      </c>
      <c r="G199">
        <v>2</v>
      </c>
      <c r="H199">
        <v>159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</row>
    <row r="200" spans="1:14" x14ac:dyDescent="0.25">
      <c r="A200">
        <v>64</v>
      </c>
      <c r="B200">
        <v>0</v>
      </c>
      <c r="C200">
        <v>4</v>
      </c>
      <c r="D200">
        <v>180</v>
      </c>
      <c r="E200">
        <v>325</v>
      </c>
      <c r="F200">
        <v>0</v>
      </c>
      <c r="G200">
        <v>0</v>
      </c>
      <c r="H200">
        <v>154</v>
      </c>
      <c r="I200">
        <v>1</v>
      </c>
      <c r="J200">
        <v>0</v>
      </c>
      <c r="K200">
        <v>1</v>
      </c>
      <c r="L200">
        <v>0</v>
      </c>
      <c r="M200">
        <v>3</v>
      </c>
      <c r="N200">
        <v>0</v>
      </c>
    </row>
    <row r="201" spans="1:14" x14ac:dyDescent="0.25">
      <c r="A201">
        <v>57</v>
      </c>
      <c r="B201">
        <v>1</v>
      </c>
      <c r="C201">
        <v>3</v>
      </c>
      <c r="D201">
        <v>150</v>
      </c>
      <c r="E201">
        <v>126</v>
      </c>
      <c r="F201">
        <v>1</v>
      </c>
      <c r="G201">
        <v>0</v>
      </c>
      <c r="H201">
        <v>173</v>
      </c>
      <c r="I201">
        <v>0</v>
      </c>
      <c r="J201">
        <v>0.2</v>
      </c>
      <c r="K201">
        <v>1</v>
      </c>
      <c r="L201">
        <v>1</v>
      </c>
      <c r="M201">
        <v>7</v>
      </c>
      <c r="N201">
        <v>0</v>
      </c>
    </row>
    <row r="202" spans="1:14" x14ac:dyDescent="0.25">
      <c r="A202">
        <v>64</v>
      </c>
      <c r="B202">
        <v>0</v>
      </c>
      <c r="C202">
        <v>3</v>
      </c>
      <c r="D202">
        <v>140</v>
      </c>
      <c r="E202">
        <v>313</v>
      </c>
      <c r="F202">
        <v>0</v>
      </c>
      <c r="G202">
        <v>0</v>
      </c>
      <c r="H202">
        <v>133</v>
      </c>
      <c r="I202">
        <v>0</v>
      </c>
      <c r="J202">
        <v>0.2</v>
      </c>
      <c r="K202">
        <v>1</v>
      </c>
      <c r="L202">
        <v>0</v>
      </c>
      <c r="M202">
        <v>7</v>
      </c>
      <c r="N202">
        <v>0</v>
      </c>
    </row>
    <row r="203" spans="1:14" x14ac:dyDescent="0.25">
      <c r="A203">
        <v>43</v>
      </c>
      <c r="B203">
        <v>1</v>
      </c>
      <c r="C203">
        <v>4</v>
      </c>
      <c r="D203">
        <v>110</v>
      </c>
      <c r="E203">
        <v>211</v>
      </c>
      <c r="F203">
        <v>0</v>
      </c>
      <c r="G203">
        <v>0</v>
      </c>
      <c r="H203">
        <v>161</v>
      </c>
      <c r="I203">
        <v>0</v>
      </c>
      <c r="J203">
        <v>0</v>
      </c>
      <c r="K203">
        <v>1</v>
      </c>
      <c r="L203">
        <v>0</v>
      </c>
      <c r="M203">
        <v>7</v>
      </c>
      <c r="N203">
        <v>0</v>
      </c>
    </row>
    <row r="204" spans="1:14" x14ac:dyDescent="0.25">
      <c r="A204">
        <v>45</v>
      </c>
      <c r="B204">
        <v>1</v>
      </c>
      <c r="C204">
        <v>4</v>
      </c>
      <c r="D204">
        <v>142</v>
      </c>
      <c r="E204">
        <v>309</v>
      </c>
      <c r="F204">
        <v>0</v>
      </c>
      <c r="G204">
        <v>2</v>
      </c>
      <c r="H204">
        <v>147</v>
      </c>
      <c r="I204">
        <v>1</v>
      </c>
      <c r="J204">
        <v>0</v>
      </c>
      <c r="K204">
        <v>2</v>
      </c>
      <c r="L204">
        <v>3</v>
      </c>
      <c r="M204">
        <v>7</v>
      </c>
      <c r="N204">
        <v>1</v>
      </c>
    </row>
    <row r="205" spans="1:14" x14ac:dyDescent="0.25">
      <c r="A205">
        <v>58</v>
      </c>
      <c r="B205">
        <v>1</v>
      </c>
      <c r="C205">
        <v>4</v>
      </c>
      <c r="D205">
        <v>128</v>
      </c>
      <c r="E205">
        <v>259</v>
      </c>
      <c r="F205">
        <v>0</v>
      </c>
      <c r="G205">
        <v>2</v>
      </c>
      <c r="H205">
        <v>130</v>
      </c>
      <c r="I205">
        <v>1</v>
      </c>
      <c r="J205">
        <v>3</v>
      </c>
      <c r="K205">
        <v>2</v>
      </c>
      <c r="L205">
        <v>2</v>
      </c>
      <c r="M205">
        <v>7</v>
      </c>
      <c r="N205">
        <v>1</v>
      </c>
    </row>
    <row r="206" spans="1:14" x14ac:dyDescent="0.25">
      <c r="A206">
        <v>50</v>
      </c>
      <c r="B206">
        <v>1</v>
      </c>
      <c r="C206">
        <v>4</v>
      </c>
      <c r="D206">
        <v>144</v>
      </c>
      <c r="E206">
        <v>200</v>
      </c>
      <c r="F206">
        <v>0</v>
      </c>
      <c r="G206">
        <v>2</v>
      </c>
      <c r="H206">
        <v>126</v>
      </c>
      <c r="I206">
        <v>1</v>
      </c>
      <c r="J206">
        <v>0.9</v>
      </c>
      <c r="K206">
        <v>2</v>
      </c>
      <c r="L206">
        <v>0</v>
      </c>
      <c r="M206">
        <v>7</v>
      </c>
      <c r="N206">
        <v>1</v>
      </c>
    </row>
    <row r="207" spans="1:14" x14ac:dyDescent="0.25">
      <c r="A207">
        <v>55</v>
      </c>
      <c r="B207">
        <v>1</v>
      </c>
      <c r="C207">
        <v>2</v>
      </c>
      <c r="D207">
        <v>130</v>
      </c>
      <c r="E207">
        <v>262</v>
      </c>
      <c r="F207">
        <v>0</v>
      </c>
      <c r="G207">
        <v>0</v>
      </c>
      <c r="H207">
        <v>155</v>
      </c>
      <c r="I207">
        <v>0</v>
      </c>
      <c r="J207">
        <v>0</v>
      </c>
      <c r="K207">
        <v>1</v>
      </c>
      <c r="L207">
        <v>0</v>
      </c>
      <c r="M207">
        <v>3</v>
      </c>
      <c r="N207">
        <v>0</v>
      </c>
    </row>
    <row r="208" spans="1:14" x14ac:dyDescent="0.25">
      <c r="A208">
        <v>62</v>
      </c>
      <c r="B208">
        <v>0</v>
      </c>
      <c r="C208">
        <v>4</v>
      </c>
      <c r="D208">
        <v>150</v>
      </c>
      <c r="E208">
        <v>244</v>
      </c>
      <c r="F208">
        <v>0</v>
      </c>
      <c r="G208">
        <v>0</v>
      </c>
      <c r="H208">
        <v>154</v>
      </c>
      <c r="I208">
        <v>1</v>
      </c>
      <c r="J208">
        <v>1.4</v>
      </c>
      <c r="K208">
        <v>2</v>
      </c>
      <c r="L208">
        <v>0</v>
      </c>
      <c r="M208">
        <v>3</v>
      </c>
      <c r="N208">
        <v>1</v>
      </c>
    </row>
    <row r="209" spans="1:14" x14ac:dyDescent="0.25">
      <c r="A209">
        <v>37</v>
      </c>
      <c r="B209">
        <v>0</v>
      </c>
      <c r="C209">
        <v>3</v>
      </c>
      <c r="D209">
        <v>120</v>
      </c>
      <c r="E209">
        <v>215</v>
      </c>
      <c r="F209">
        <v>0</v>
      </c>
      <c r="G209">
        <v>0</v>
      </c>
      <c r="H209">
        <v>170</v>
      </c>
      <c r="I209">
        <v>0</v>
      </c>
      <c r="J209">
        <v>0</v>
      </c>
      <c r="K209">
        <v>1</v>
      </c>
      <c r="L209">
        <v>0</v>
      </c>
      <c r="M209">
        <v>3</v>
      </c>
      <c r="N209">
        <v>0</v>
      </c>
    </row>
    <row r="210" spans="1:14" x14ac:dyDescent="0.25">
      <c r="A210">
        <v>38</v>
      </c>
      <c r="B210">
        <v>1</v>
      </c>
      <c r="C210">
        <v>1</v>
      </c>
      <c r="D210">
        <v>120</v>
      </c>
      <c r="E210">
        <v>231</v>
      </c>
      <c r="F210">
        <v>0</v>
      </c>
      <c r="G210">
        <v>0</v>
      </c>
      <c r="H210">
        <v>182</v>
      </c>
      <c r="I210">
        <v>1</v>
      </c>
      <c r="J210">
        <v>3.8</v>
      </c>
      <c r="K210">
        <v>2</v>
      </c>
      <c r="L210">
        <v>0</v>
      </c>
      <c r="M210">
        <v>7</v>
      </c>
      <c r="N210">
        <v>1</v>
      </c>
    </row>
    <row r="211" spans="1:14" x14ac:dyDescent="0.25">
      <c r="A211">
        <v>41</v>
      </c>
      <c r="B211">
        <v>1</v>
      </c>
      <c r="C211">
        <v>3</v>
      </c>
      <c r="D211">
        <v>130</v>
      </c>
      <c r="E211">
        <v>214</v>
      </c>
      <c r="F211">
        <v>0</v>
      </c>
      <c r="G211">
        <v>2</v>
      </c>
      <c r="H211">
        <v>168</v>
      </c>
      <c r="I211">
        <v>0</v>
      </c>
      <c r="J211">
        <v>2</v>
      </c>
      <c r="K211">
        <v>2</v>
      </c>
      <c r="L211">
        <v>0</v>
      </c>
      <c r="M211">
        <v>3</v>
      </c>
      <c r="N211">
        <v>0</v>
      </c>
    </row>
    <row r="212" spans="1:14" x14ac:dyDescent="0.25">
      <c r="A212">
        <v>66</v>
      </c>
      <c r="B212">
        <v>0</v>
      </c>
      <c r="C212">
        <v>4</v>
      </c>
      <c r="D212">
        <v>178</v>
      </c>
      <c r="E212">
        <v>228</v>
      </c>
      <c r="F212">
        <v>1</v>
      </c>
      <c r="G212">
        <v>0</v>
      </c>
      <c r="H212">
        <v>165</v>
      </c>
      <c r="I212">
        <v>1</v>
      </c>
      <c r="J212">
        <v>1</v>
      </c>
      <c r="K212">
        <v>2</v>
      </c>
      <c r="L212">
        <v>2</v>
      </c>
      <c r="M212">
        <v>7</v>
      </c>
      <c r="N212">
        <v>1</v>
      </c>
    </row>
    <row r="213" spans="1:14" x14ac:dyDescent="0.25">
      <c r="A213">
        <v>52</v>
      </c>
      <c r="B213">
        <v>1</v>
      </c>
      <c r="C213">
        <v>4</v>
      </c>
      <c r="D213">
        <v>112</v>
      </c>
      <c r="E213">
        <v>230</v>
      </c>
      <c r="F213">
        <v>0</v>
      </c>
      <c r="G213">
        <v>0</v>
      </c>
      <c r="H213">
        <v>160</v>
      </c>
      <c r="I213">
        <v>0</v>
      </c>
      <c r="J213">
        <v>0</v>
      </c>
      <c r="K213">
        <v>1</v>
      </c>
      <c r="L213">
        <v>1</v>
      </c>
      <c r="M213">
        <v>3</v>
      </c>
      <c r="N213">
        <v>1</v>
      </c>
    </row>
    <row r="214" spans="1:14" x14ac:dyDescent="0.25">
      <c r="A214">
        <v>56</v>
      </c>
      <c r="B214">
        <v>1</v>
      </c>
      <c r="C214">
        <v>1</v>
      </c>
      <c r="D214">
        <v>120</v>
      </c>
      <c r="E214">
        <v>193</v>
      </c>
      <c r="F214">
        <v>0</v>
      </c>
      <c r="G214">
        <v>2</v>
      </c>
      <c r="H214">
        <v>162</v>
      </c>
      <c r="I214">
        <v>0</v>
      </c>
      <c r="J214">
        <v>1.9</v>
      </c>
      <c r="K214">
        <v>2</v>
      </c>
      <c r="L214">
        <v>0</v>
      </c>
      <c r="M214">
        <v>7</v>
      </c>
      <c r="N214">
        <v>0</v>
      </c>
    </row>
    <row r="215" spans="1:14" x14ac:dyDescent="0.25">
      <c r="A215">
        <v>46</v>
      </c>
      <c r="B215">
        <v>0</v>
      </c>
      <c r="C215">
        <v>2</v>
      </c>
      <c r="D215">
        <v>105</v>
      </c>
      <c r="E215">
        <v>204</v>
      </c>
      <c r="F215">
        <v>0</v>
      </c>
      <c r="G215">
        <v>0</v>
      </c>
      <c r="H215">
        <v>172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</row>
    <row r="216" spans="1:14" x14ac:dyDescent="0.25">
      <c r="A216">
        <v>46</v>
      </c>
      <c r="B216">
        <v>0</v>
      </c>
      <c r="C216">
        <v>4</v>
      </c>
      <c r="D216">
        <v>138</v>
      </c>
      <c r="E216">
        <v>243</v>
      </c>
      <c r="F216">
        <v>0</v>
      </c>
      <c r="G216">
        <v>2</v>
      </c>
      <c r="H216">
        <v>152</v>
      </c>
      <c r="I216">
        <v>1</v>
      </c>
      <c r="J216">
        <v>0</v>
      </c>
      <c r="K216">
        <v>2</v>
      </c>
      <c r="L216">
        <v>0</v>
      </c>
      <c r="M216">
        <v>3</v>
      </c>
      <c r="N216">
        <v>0</v>
      </c>
    </row>
    <row r="217" spans="1:14" x14ac:dyDescent="0.25">
      <c r="A217">
        <v>64</v>
      </c>
      <c r="B217">
        <v>0</v>
      </c>
      <c r="C217">
        <v>4</v>
      </c>
      <c r="D217">
        <v>130</v>
      </c>
      <c r="E217">
        <v>303</v>
      </c>
      <c r="F217">
        <v>0</v>
      </c>
      <c r="G217">
        <v>0</v>
      </c>
      <c r="H217">
        <v>122</v>
      </c>
      <c r="I217">
        <v>0</v>
      </c>
      <c r="J217">
        <v>2</v>
      </c>
      <c r="K217">
        <v>2</v>
      </c>
      <c r="L217">
        <v>2</v>
      </c>
      <c r="M217">
        <v>3</v>
      </c>
      <c r="N217">
        <v>0</v>
      </c>
    </row>
    <row r="218" spans="1:14" x14ac:dyDescent="0.25">
      <c r="A218">
        <v>59</v>
      </c>
      <c r="B218">
        <v>1</v>
      </c>
      <c r="C218">
        <v>4</v>
      </c>
      <c r="D218">
        <v>138</v>
      </c>
      <c r="E218">
        <v>271</v>
      </c>
      <c r="F218">
        <v>0</v>
      </c>
      <c r="G218">
        <v>2</v>
      </c>
      <c r="H218">
        <v>182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25">
      <c r="A219">
        <v>41</v>
      </c>
      <c r="B219">
        <v>0</v>
      </c>
      <c r="C219">
        <v>3</v>
      </c>
      <c r="D219">
        <v>112</v>
      </c>
      <c r="E219">
        <v>268</v>
      </c>
      <c r="F219">
        <v>0</v>
      </c>
      <c r="G219">
        <v>2</v>
      </c>
      <c r="H219">
        <v>172</v>
      </c>
      <c r="I219">
        <v>1</v>
      </c>
      <c r="J219">
        <v>0</v>
      </c>
      <c r="K219">
        <v>1</v>
      </c>
      <c r="L219">
        <v>0</v>
      </c>
      <c r="M219">
        <v>3</v>
      </c>
      <c r="N219">
        <v>0</v>
      </c>
    </row>
    <row r="220" spans="1:14" x14ac:dyDescent="0.25">
      <c r="A220">
        <v>54</v>
      </c>
      <c r="B220">
        <v>0</v>
      </c>
      <c r="C220">
        <v>3</v>
      </c>
      <c r="D220">
        <v>108</v>
      </c>
      <c r="E220">
        <v>267</v>
      </c>
      <c r="F220">
        <v>0</v>
      </c>
      <c r="G220">
        <v>2</v>
      </c>
      <c r="H220">
        <v>167</v>
      </c>
      <c r="I220">
        <v>0</v>
      </c>
      <c r="J220">
        <v>0</v>
      </c>
      <c r="K220">
        <v>1</v>
      </c>
      <c r="L220">
        <v>0</v>
      </c>
      <c r="M220">
        <v>3</v>
      </c>
      <c r="N220">
        <v>0</v>
      </c>
    </row>
    <row r="221" spans="1:14" x14ac:dyDescent="0.25">
      <c r="A221">
        <v>39</v>
      </c>
      <c r="B221">
        <v>0</v>
      </c>
      <c r="C221">
        <v>3</v>
      </c>
      <c r="D221">
        <v>94</v>
      </c>
      <c r="E221">
        <v>199</v>
      </c>
      <c r="F221">
        <v>0</v>
      </c>
      <c r="G221">
        <v>0</v>
      </c>
      <c r="H221">
        <v>179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25">
      <c r="A222">
        <v>53</v>
      </c>
      <c r="B222">
        <v>1</v>
      </c>
      <c r="C222">
        <v>4</v>
      </c>
      <c r="D222">
        <v>123</v>
      </c>
      <c r="E222">
        <v>282</v>
      </c>
      <c r="F222">
        <v>0</v>
      </c>
      <c r="G222">
        <v>0</v>
      </c>
      <c r="H222">
        <v>95</v>
      </c>
      <c r="I222">
        <v>1</v>
      </c>
      <c r="J222">
        <v>2</v>
      </c>
      <c r="K222">
        <v>2</v>
      </c>
      <c r="L222">
        <v>2</v>
      </c>
      <c r="M222">
        <v>7</v>
      </c>
      <c r="N222">
        <v>1</v>
      </c>
    </row>
    <row r="223" spans="1:14" x14ac:dyDescent="0.25">
      <c r="A223">
        <v>63</v>
      </c>
      <c r="B223">
        <v>0</v>
      </c>
      <c r="C223">
        <v>4</v>
      </c>
      <c r="D223">
        <v>108</v>
      </c>
      <c r="E223">
        <v>269</v>
      </c>
      <c r="F223">
        <v>0</v>
      </c>
      <c r="G223">
        <v>0</v>
      </c>
      <c r="H223">
        <v>169</v>
      </c>
      <c r="I223">
        <v>1</v>
      </c>
      <c r="J223">
        <v>1.8</v>
      </c>
      <c r="K223">
        <v>2</v>
      </c>
      <c r="L223">
        <v>2</v>
      </c>
      <c r="M223">
        <v>3</v>
      </c>
      <c r="N223">
        <v>1</v>
      </c>
    </row>
    <row r="224" spans="1:14" x14ac:dyDescent="0.25">
      <c r="A224">
        <v>34</v>
      </c>
      <c r="B224">
        <v>0</v>
      </c>
      <c r="C224">
        <v>2</v>
      </c>
      <c r="D224">
        <v>118</v>
      </c>
      <c r="E224">
        <v>210</v>
      </c>
      <c r="F224">
        <v>0</v>
      </c>
      <c r="G224">
        <v>0</v>
      </c>
      <c r="H224">
        <v>192</v>
      </c>
      <c r="I224">
        <v>0</v>
      </c>
      <c r="J224">
        <v>0.7</v>
      </c>
      <c r="K224">
        <v>1</v>
      </c>
      <c r="L224">
        <v>0</v>
      </c>
      <c r="M224">
        <v>3</v>
      </c>
      <c r="N224">
        <v>0</v>
      </c>
    </row>
    <row r="225" spans="1:14" x14ac:dyDescent="0.25">
      <c r="A225">
        <v>47</v>
      </c>
      <c r="B225">
        <v>1</v>
      </c>
      <c r="C225">
        <v>4</v>
      </c>
      <c r="D225">
        <v>112</v>
      </c>
      <c r="E225">
        <v>204</v>
      </c>
      <c r="F225">
        <v>0</v>
      </c>
      <c r="G225">
        <v>0</v>
      </c>
      <c r="H225">
        <v>143</v>
      </c>
      <c r="I225">
        <v>0</v>
      </c>
      <c r="J225">
        <v>0.1</v>
      </c>
      <c r="K225">
        <v>1</v>
      </c>
      <c r="L225">
        <v>0</v>
      </c>
      <c r="M225">
        <v>3</v>
      </c>
      <c r="N225">
        <v>0</v>
      </c>
    </row>
    <row r="226" spans="1:14" x14ac:dyDescent="0.25">
      <c r="A226">
        <v>67</v>
      </c>
      <c r="B226">
        <v>0</v>
      </c>
      <c r="C226">
        <v>3</v>
      </c>
      <c r="D226">
        <v>152</v>
      </c>
      <c r="E226">
        <v>277</v>
      </c>
      <c r="F226">
        <v>0</v>
      </c>
      <c r="G226">
        <v>0</v>
      </c>
      <c r="H226">
        <v>172</v>
      </c>
      <c r="I226">
        <v>0</v>
      </c>
      <c r="J226">
        <v>0</v>
      </c>
      <c r="K226">
        <v>1</v>
      </c>
      <c r="L226">
        <v>1</v>
      </c>
      <c r="M226">
        <v>3</v>
      </c>
      <c r="N226">
        <v>0</v>
      </c>
    </row>
    <row r="227" spans="1:14" x14ac:dyDescent="0.25">
      <c r="A227">
        <v>54</v>
      </c>
      <c r="B227">
        <v>1</v>
      </c>
      <c r="C227">
        <v>4</v>
      </c>
      <c r="D227">
        <v>110</v>
      </c>
      <c r="E227">
        <v>206</v>
      </c>
      <c r="F227">
        <v>0</v>
      </c>
      <c r="G227">
        <v>2</v>
      </c>
      <c r="H227">
        <v>108</v>
      </c>
      <c r="I227">
        <v>1</v>
      </c>
      <c r="J227">
        <v>0</v>
      </c>
      <c r="K227">
        <v>2</v>
      </c>
      <c r="L227">
        <v>1</v>
      </c>
      <c r="M227">
        <v>3</v>
      </c>
      <c r="N227">
        <v>1</v>
      </c>
    </row>
    <row r="228" spans="1:14" x14ac:dyDescent="0.25">
      <c r="A228">
        <v>66</v>
      </c>
      <c r="B228">
        <v>1</v>
      </c>
      <c r="C228">
        <v>4</v>
      </c>
      <c r="D228">
        <v>112</v>
      </c>
      <c r="E228">
        <v>212</v>
      </c>
      <c r="F228">
        <v>0</v>
      </c>
      <c r="G228">
        <v>2</v>
      </c>
      <c r="H228">
        <v>132</v>
      </c>
      <c r="I228">
        <v>1</v>
      </c>
      <c r="J228">
        <v>0.1</v>
      </c>
      <c r="K228">
        <v>1</v>
      </c>
      <c r="L228">
        <v>1</v>
      </c>
      <c r="M228">
        <v>3</v>
      </c>
      <c r="N228">
        <v>1</v>
      </c>
    </row>
    <row r="229" spans="1:14" x14ac:dyDescent="0.25">
      <c r="A229">
        <v>52</v>
      </c>
      <c r="B229">
        <v>0</v>
      </c>
      <c r="C229">
        <v>3</v>
      </c>
      <c r="D229">
        <v>136</v>
      </c>
      <c r="E229">
        <v>196</v>
      </c>
      <c r="F229">
        <v>0</v>
      </c>
      <c r="G229">
        <v>2</v>
      </c>
      <c r="H229">
        <v>169</v>
      </c>
      <c r="I229">
        <v>0</v>
      </c>
      <c r="J229">
        <v>0.1</v>
      </c>
      <c r="K229">
        <v>2</v>
      </c>
      <c r="L229">
        <v>0</v>
      </c>
      <c r="M229">
        <v>3</v>
      </c>
      <c r="N229">
        <v>0</v>
      </c>
    </row>
    <row r="230" spans="1:14" x14ac:dyDescent="0.25">
      <c r="A230">
        <v>55</v>
      </c>
      <c r="B230">
        <v>0</v>
      </c>
      <c r="C230">
        <v>4</v>
      </c>
      <c r="D230">
        <v>180</v>
      </c>
      <c r="E230">
        <v>327</v>
      </c>
      <c r="F230">
        <v>0</v>
      </c>
      <c r="G230">
        <v>1</v>
      </c>
      <c r="H230">
        <v>117</v>
      </c>
      <c r="I230">
        <v>1</v>
      </c>
      <c r="J230">
        <v>3.4</v>
      </c>
      <c r="K230">
        <v>2</v>
      </c>
      <c r="L230">
        <v>0</v>
      </c>
      <c r="M230">
        <v>3</v>
      </c>
      <c r="N230">
        <v>1</v>
      </c>
    </row>
    <row r="231" spans="1:14" x14ac:dyDescent="0.25">
      <c r="A231">
        <v>49</v>
      </c>
      <c r="B231">
        <v>1</v>
      </c>
      <c r="C231">
        <v>3</v>
      </c>
      <c r="D231">
        <v>118</v>
      </c>
      <c r="E231">
        <v>149</v>
      </c>
      <c r="F231">
        <v>0</v>
      </c>
      <c r="G231">
        <v>2</v>
      </c>
      <c r="H231">
        <v>126</v>
      </c>
      <c r="I231">
        <v>0</v>
      </c>
      <c r="J231">
        <v>0.8</v>
      </c>
      <c r="K231">
        <v>1</v>
      </c>
      <c r="L231">
        <v>3</v>
      </c>
      <c r="M231">
        <v>3</v>
      </c>
      <c r="N231">
        <v>1</v>
      </c>
    </row>
    <row r="232" spans="1:14" x14ac:dyDescent="0.25">
      <c r="A232">
        <v>74</v>
      </c>
      <c r="B232">
        <v>0</v>
      </c>
      <c r="C232">
        <v>2</v>
      </c>
      <c r="D232">
        <v>120</v>
      </c>
      <c r="E232">
        <v>269</v>
      </c>
      <c r="F232">
        <v>0</v>
      </c>
      <c r="G232">
        <v>2</v>
      </c>
      <c r="H232">
        <v>121</v>
      </c>
      <c r="I232">
        <v>1</v>
      </c>
      <c r="J232">
        <v>0.2</v>
      </c>
      <c r="K232">
        <v>1</v>
      </c>
      <c r="L232">
        <v>1</v>
      </c>
      <c r="M232">
        <v>3</v>
      </c>
      <c r="N232">
        <v>0</v>
      </c>
    </row>
    <row r="233" spans="1:14" x14ac:dyDescent="0.25">
      <c r="A233">
        <v>54</v>
      </c>
      <c r="B233">
        <v>0</v>
      </c>
      <c r="C233">
        <v>3</v>
      </c>
      <c r="D233">
        <v>160</v>
      </c>
      <c r="E233">
        <v>201</v>
      </c>
      <c r="F233">
        <v>0</v>
      </c>
      <c r="G233">
        <v>0</v>
      </c>
      <c r="H233">
        <v>163</v>
      </c>
      <c r="I233">
        <v>0</v>
      </c>
      <c r="J233">
        <v>0</v>
      </c>
      <c r="K233">
        <v>1</v>
      </c>
      <c r="L233">
        <v>1</v>
      </c>
      <c r="M233">
        <v>3</v>
      </c>
      <c r="N233">
        <v>0</v>
      </c>
    </row>
    <row r="234" spans="1:14" x14ac:dyDescent="0.25">
      <c r="A234">
        <v>54</v>
      </c>
      <c r="B234">
        <v>1</v>
      </c>
      <c r="C234">
        <v>4</v>
      </c>
      <c r="D234">
        <v>122</v>
      </c>
      <c r="E234">
        <v>286</v>
      </c>
      <c r="F234">
        <v>0</v>
      </c>
      <c r="G234">
        <v>2</v>
      </c>
      <c r="H234">
        <v>116</v>
      </c>
      <c r="I234">
        <v>1</v>
      </c>
      <c r="J234">
        <v>3.2</v>
      </c>
      <c r="K234">
        <v>2</v>
      </c>
      <c r="L234">
        <v>2</v>
      </c>
      <c r="M234">
        <v>3</v>
      </c>
      <c r="N234">
        <v>1</v>
      </c>
    </row>
    <row r="235" spans="1:14" x14ac:dyDescent="0.25">
      <c r="A235">
        <v>56</v>
      </c>
      <c r="B235">
        <v>1</v>
      </c>
      <c r="C235">
        <v>4</v>
      </c>
      <c r="D235">
        <v>130</v>
      </c>
      <c r="E235">
        <v>283</v>
      </c>
      <c r="F235">
        <v>1</v>
      </c>
      <c r="G235">
        <v>2</v>
      </c>
      <c r="H235">
        <v>103</v>
      </c>
      <c r="I235">
        <v>1</v>
      </c>
      <c r="J235">
        <v>1.6</v>
      </c>
      <c r="K235">
        <v>3</v>
      </c>
      <c r="L235">
        <v>0</v>
      </c>
      <c r="M235">
        <v>7</v>
      </c>
      <c r="N235">
        <v>1</v>
      </c>
    </row>
    <row r="236" spans="1:14" x14ac:dyDescent="0.25">
      <c r="A236">
        <v>46</v>
      </c>
      <c r="B236">
        <v>1</v>
      </c>
      <c r="C236">
        <v>4</v>
      </c>
      <c r="D236">
        <v>120</v>
      </c>
      <c r="E236">
        <v>249</v>
      </c>
      <c r="F236">
        <v>0</v>
      </c>
      <c r="G236">
        <v>2</v>
      </c>
      <c r="H236">
        <v>144</v>
      </c>
      <c r="I236">
        <v>0</v>
      </c>
      <c r="J236">
        <v>0.8</v>
      </c>
      <c r="K236">
        <v>1</v>
      </c>
      <c r="L236">
        <v>0</v>
      </c>
      <c r="M236">
        <v>7</v>
      </c>
      <c r="N236">
        <v>1</v>
      </c>
    </row>
    <row r="237" spans="1:14" x14ac:dyDescent="0.25">
      <c r="A237">
        <v>49</v>
      </c>
      <c r="B237">
        <v>0</v>
      </c>
      <c r="C237">
        <v>2</v>
      </c>
      <c r="D237">
        <v>134</v>
      </c>
      <c r="E237">
        <v>271</v>
      </c>
      <c r="F237">
        <v>0</v>
      </c>
      <c r="G237">
        <v>0</v>
      </c>
      <c r="H237">
        <v>162</v>
      </c>
      <c r="I237">
        <v>0</v>
      </c>
      <c r="J237">
        <v>0</v>
      </c>
      <c r="K237">
        <v>2</v>
      </c>
      <c r="L237">
        <v>0</v>
      </c>
      <c r="M237">
        <v>3</v>
      </c>
      <c r="N237">
        <v>0</v>
      </c>
    </row>
    <row r="238" spans="1:14" x14ac:dyDescent="0.25">
      <c r="A238">
        <v>42</v>
      </c>
      <c r="B238">
        <v>1</v>
      </c>
      <c r="C238">
        <v>2</v>
      </c>
      <c r="D238">
        <v>120</v>
      </c>
      <c r="E238">
        <v>295</v>
      </c>
      <c r="F238">
        <v>0</v>
      </c>
      <c r="G238">
        <v>0</v>
      </c>
      <c r="H238">
        <v>162</v>
      </c>
      <c r="I238">
        <v>0</v>
      </c>
      <c r="J238">
        <v>0</v>
      </c>
      <c r="K238">
        <v>1</v>
      </c>
      <c r="L238">
        <v>0</v>
      </c>
      <c r="M238">
        <v>3</v>
      </c>
      <c r="N238">
        <v>0</v>
      </c>
    </row>
    <row r="239" spans="1:14" x14ac:dyDescent="0.25">
      <c r="A239">
        <v>41</v>
      </c>
      <c r="B239">
        <v>1</v>
      </c>
      <c r="C239">
        <v>2</v>
      </c>
      <c r="D239">
        <v>110</v>
      </c>
      <c r="E239">
        <v>235</v>
      </c>
      <c r="F239">
        <v>0</v>
      </c>
      <c r="G239">
        <v>0</v>
      </c>
      <c r="H239">
        <v>153</v>
      </c>
      <c r="I239">
        <v>0</v>
      </c>
      <c r="J239">
        <v>0</v>
      </c>
      <c r="K239">
        <v>1</v>
      </c>
      <c r="L239">
        <v>0</v>
      </c>
      <c r="M239">
        <v>3</v>
      </c>
      <c r="N239">
        <v>0</v>
      </c>
    </row>
    <row r="240" spans="1:14" x14ac:dyDescent="0.25">
      <c r="A240">
        <v>41</v>
      </c>
      <c r="B240">
        <v>0</v>
      </c>
      <c r="C240">
        <v>2</v>
      </c>
      <c r="D240">
        <v>126</v>
      </c>
      <c r="E240">
        <v>306</v>
      </c>
      <c r="F240">
        <v>0</v>
      </c>
      <c r="G240">
        <v>0</v>
      </c>
      <c r="H240">
        <v>163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</row>
    <row r="241" spans="1:14" x14ac:dyDescent="0.25">
      <c r="A241">
        <v>49</v>
      </c>
      <c r="B241">
        <v>0</v>
      </c>
      <c r="C241">
        <v>4</v>
      </c>
      <c r="D241">
        <v>130</v>
      </c>
      <c r="E241">
        <v>269</v>
      </c>
      <c r="F241">
        <v>0</v>
      </c>
      <c r="G241">
        <v>0</v>
      </c>
      <c r="H241">
        <v>163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25">
      <c r="A242">
        <v>61</v>
      </c>
      <c r="B242">
        <v>1</v>
      </c>
      <c r="C242">
        <v>1</v>
      </c>
      <c r="D242">
        <v>134</v>
      </c>
      <c r="E242">
        <v>234</v>
      </c>
      <c r="F242">
        <v>0</v>
      </c>
      <c r="G242">
        <v>0</v>
      </c>
      <c r="H242">
        <v>145</v>
      </c>
      <c r="I242">
        <v>0</v>
      </c>
      <c r="J242">
        <v>2.6</v>
      </c>
      <c r="K242">
        <v>2</v>
      </c>
      <c r="L242">
        <v>2</v>
      </c>
      <c r="M242">
        <v>3</v>
      </c>
      <c r="N242">
        <v>1</v>
      </c>
    </row>
    <row r="243" spans="1:14" x14ac:dyDescent="0.25">
      <c r="A243">
        <v>60</v>
      </c>
      <c r="B243">
        <v>0</v>
      </c>
      <c r="C243">
        <v>3</v>
      </c>
      <c r="D243">
        <v>120</v>
      </c>
      <c r="E243">
        <v>178</v>
      </c>
      <c r="F243">
        <v>1</v>
      </c>
      <c r="G243">
        <v>0</v>
      </c>
      <c r="H243">
        <v>96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25">
      <c r="A244">
        <v>67</v>
      </c>
      <c r="B244">
        <v>1</v>
      </c>
      <c r="C244">
        <v>4</v>
      </c>
      <c r="D244">
        <v>120</v>
      </c>
      <c r="E244">
        <v>237</v>
      </c>
      <c r="F244">
        <v>0</v>
      </c>
      <c r="G244">
        <v>0</v>
      </c>
      <c r="H244">
        <v>71</v>
      </c>
      <c r="I244">
        <v>0</v>
      </c>
      <c r="J244">
        <v>1</v>
      </c>
      <c r="K244">
        <v>2</v>
      </c>
      <c r="L244">
        <v>0</v>
      </c>
      <c r="M244">
        <v>3</v>
      </c>
      <c r="N244">
        <v>1</v>
      </c>
    </row>
    <row r="245" spans="1:14" x14ac:dyDescent="0.25">
      <c r="A245">
        <v>58</v>
      </c>
      <c r="B245">
        <v>1</v>
      </c>
      <c r="C245">
        <v>4</v>
      </c>
      <c r="D245">
        <v>100</v>
      </c>
      <c r="E245">
        <v>234</v>
      </c>
      <c r="F245">
        <v>0</v>
      </c>
      <c r="G245">
        <v>0</v>
      </c>
      <c r="H245">
        <v>156</v>
      </c>
      <c r="I245">
        <v>0</v>
      </c>
      <c r="J245">
        <v>0.1</v>
      </c>
      <c r="K245">
        <v>1</v>
      </c>
      <c r="L245">
        <v>1</v>
      </c>
      <c r="M245">
        <v>7</v>
      </c>
      <c r="N245">
        <v>1</v>
      </c>
    </row>
    <row r="246" spans="1:14" x14ac:dyDescent="0.25">
      <c r="A246">
        <v>47</v>
      </c>
      <c r="B246">
        <v>1</v>
      </c>
      <c r="C246">
        <v>4</v>
      </c>
      <c r="D246">
        <v>110</v>
      </c>
      <c r="E246">
        <v>275</v>
      </c>
      <c r="F246">
        <v>0</v>
      </c>
      <c r="G246">
        <v>2</v>
      </c>
      <c r="H246">
        <v>118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1</v>
      </c>
    </row>
    <row r="247" spans="1:14" x14ac:dyDescent="0.25">
      <c r="A247">
        <v>52</v>
      </c>
      <c r="B247">
        <v>1</v>
      </c>
      <c r="C247">
        <v>4</v>
      </c>
      <c r="D247">
        <v>125</v>
      </c>
      <c r="E247">
        <v>212</v>
      </c>
      <c r="F247">
        <v>0</v>
      </c>
      <c r="G247">
        <v>0</v>
      </c>
      <c r="H247">
        <v>168</v>
      </c>
      <c r="I247">
        <v>0</v>
      </c>
      <c r="J247">
        <v>1</v>
      </c>
      <c r="K247">
        <v>1</v>
      </c>
      <c r="L247">
        <v>2</v>
      </c>
      <c r="M247">
        <v>7</v>
      </c>
      <c r="N247">
        <v>1</v>
      </c>
    </row>
    <row r="248" spans="1:14" x14ac:dyDescent="0.25">
      <c r="A248">
        <v>62</v>
      </c>
      <c r="B248">
        <v>1</v>
      </c>
      <c r="C248">
        <v>2</v>
      </c>
      <c r="D248">
        <v>128</v>
      </c>
      <c r="E248">
        <v>208</v>
      </c>
      <c r="F248">
        <v>1</v>
      </c>
      <c r="G248">
        <v>2</v>
      </c>
      <c r="H248">
        <v>140</v>
      </c>
      <c r="I248">
        <v>0</v>
      </c>
      <c r="J248">
        <v>0</v>
      </c>
      <c r="K248">
        <v>1</v>
      </c>
      <c r="L248">
        <v>0</v>
      </c>
      <c r="M248">
        <v>3</v>
      </c>
      <c r="N248">
        <v>0</v>
      </c>
    </row>
    <row r="249" spans="1:14" x14ac:dyDescent="0.25">
      <c r="A249">
        <v>57</v>
      </c>
      <c r="B249">
        <v>1</v>
      </c>
      <c r="C249">
        <v>4</v>
      </c>
      <c r="D249">
        <v>110</v>
      </c>
      <c r="E249">
        <v>201</v>
      </c>
      <c r="F249">
        <v>0</v>
      </c>
      <c r="G249">
        <v>0</v>
      </c>
      <c r="H249">
        <v>126</v>
      </c>
      <c r="I249">
        <v>1</v>
      </c>
      <c r="J249">
        <v>1.5</v>
      </c>
      <c r="K249">
        <v>2</v>
      </c>
      <c r="L249">
        <v>0</v>
      </c>
      <c r="M249">
        <v>6</v>
      </c>
      <c r="N249">
        <v>0</v>
      </c>
    </row>
    <row r="250" spans="1:14" x14ac:dyDescent="0.25">
      <c r="A250">
        <v>58</v>
      </c>
      <c r="B250">
        <v>1</v>
      </c>
      <c r="C250">
        <v>4</v>
      </c>
      <c r="D250">
        <v>146</v>
      </c>
      <c r="E250">
        <v>218</v>
      </c>
      <c r="F250">
        <v>0</v>
      </c>
      <c r="G250">
        <v>0</v>
      </c>
      <c r="H250">
        <v>105</v>
      </c>
      <c r="I250">
        <v>0</v>
      </c>
      <c r="J250">
        <v>2</v>
      </c>
      <c r="K250">
        <v>2</v>
      </c>
      <c r="L250">
        <v>1</v>
      </c>
      <c r="M250">
        <v>7</v>
      </c>
      <c r="N250">
        <v>1</v>
      </c>
    </row>
    <row r="251" spans="1:14" x14ac:dyDescent="0.25">
      <c r="A251">
        <v>64</v>
      </c>
      <c r="B251">
        <v>1</v>
      </c>
      <c r="C251">
        <v>4</v>
      </c>
      <c r="D251">
        <v>128</v>
      </c>
      <c r="E251">
        <v>263</v>
      </c>
      <c r="F251">
        <v>0</v>
      </c>
      <c r="G251">
        <v>0</v>
      </c>
      <c r="H251">
        <v>105</v>
      </c>
      <c r="I251">
        <v>1</v>
      </c>
      <c r="J251">
        <v>0.2</v>
      </c>
      <c r="K251">
        <v>2</v>
      </c>
      <c r="L251">
        <v>1</v>
      </c>
      <c r="M251">
        <v>7</v>
      </c>
      <c r="N251">
        <v>0</v>
      </c>
    </row>
    <row r="252" spans="1:14" x14ac:dyDescent="0.25">
      <c r="A252">
        <v>51</v>
      </c>
      <c r="B252">
        <v>0</v>
      </c>
      <c r="C252">
        <v>3</v>
      </c>
      <c r="D252">
        <v>120</v>
      </c>
      <c r="E252">
        <v>295</v>
      </c>
      <c r="F252">
        <v>0</v>
      </c>
      <c r="G252">
        <v>2</v>
      </c>
      <c r="H252">
        <v>157</v>
      </c>
      <c r="I252">
        <v>0</v>
      </c>
      <c r="J252">
        <v>0.6</v>
      </c>
      <c r="K252">
        <v>1</v>
      </c>
      <c r="L252">
        <v>0</v>
      </c>
      <c r="M252">
        <v>3</v>
      </c>
      <c r="N252">
        <v>0</v>
      </c>
    </row>
    <row r="253" spans="1:14" x14ac:dyDescent="0.25">
      <c r="A253">
        <v>43</v>
      </c>
      <c r="B253">
        <v>1</v>
      </c>
      <c r="C253">
        <v>4</v>
      </c>
      <c r="D253">
        <v>115</v>
      </c>
      <c r="E253">
        <v>303</v>
      </c>
      <c r="F253">
        <v>0</v>
      </c>
      <c r="G253">
        <v>0</v>
      </c>
      <c r="H253">
        <v>181</v>
      </c>
      <c r="I253">
        <v>0</v>
      </c>
      <c r="J253">
        <v>1.2</v>
      </c>
      <c r="K253">
        <v>2</v>
      </c>
      <c r="L253">
        <v>0</v>
      </c>
      <c r="M253">
        <v>3</v>
      </c>
      <c r="N253">
        <v>0</v>
      </c>
    </row>
    <row r="254" spans="1:14" x14ac:dyDescent="0.25">
      <c r="A254">
        <v>42</v>
      </c>
      <c r="B254">
        <v>0</v>
      </c>
      <c r="C254">
        <v>3</v>
      </c>
      <c r="D254">
        <v>120</v>
      </c>
      <c r="E254">
        <v>209</v>
      </c>
      <c r="F254">
        <v>0</v>
      </c>
      <c r="G254">
        <v>0</v>
      </c>
      <c r="H254">
        <v>173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</row>
    <row r="255" spans="1:14" x14ac:dyDescent="0.25">
      <c r="A255">
        <v>67</v>
      </c>
      <c r="B255">
        <v>0</v>
      </c>
      <c r="C255">
        <v>4</v>
      </c>
      <c r="D255">
        <v>106</v>
      </c>
      <c r="E255">
        <v>223</v>
      </c>
      <c r="F255">
        <v>0</v>
      </c>
      <c r="G255">
        <v>0</v>
      </c>
      <c r="H255">
        <v>142</v>
      </c>
      <c r="I255">
        <v>0</v>
      </c>
      <c r="J255">
        <v>0.3</v>
      </c>
      <c r="K255">
        <v>1</v>
      </c>
      <c r="L255">
        <v>2</v>
      </c>
      <c r="M255">
        <v>3</v>
      </c>
      <c r="N255">
        <v>0</v>
      </c>
    </row>
    <row r="256" spans="1:14" x14ac:dyDescent="0.25">
      <c r="A256">
        <v>76</v>
      </c>
      <c r="B256">
        <v>0</v>
      </c>
      <c r="C256">
        <v>3</v>
      </c>
      <c r="D256">
        <v>140</v>
      </c>
      <c r="E256">
        <v>197</v>
      </c>
      <c r="F256">
        <v>0</v>
      </c>
      <c r="G256">
        <v>1</v>
      </c>
      <c r="H256">
        <v>116</v>
      </c>
      <c r="I256">
        <v>0</v>
      </c>
      <c r="J256">
        <v>1.1000000000000001</v>
      </c>
      <c r="K256">
        <v>2</v>
      </c>
      <c r="L256">
        <v>0</v>
      </c>
      <c r="M256">
        <v>3</v>
      </c>
      <c r="N256">
        <v>0</v>
      </c>
    </row>
    <row r="257" spans="1:14" x14ac:dyDescent="0.25">
      <c r="A257">
        <v>70</v>
      </c>
      <c r="B257">
        <v>1</v>
      </c>
      <c r="C257">
        <v>2</v>
      </c>
      <c r="D257">
        <v>156</v>
      </c>
      <c r="E257">
        <v>245</v>
      </c>
      <c r="F257">
        <v>0</v>
      </c>
      <c r="G257">
        <v>2</v>
      </c>
      <c r="H257">
        <v>143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</row>
    <row r="258" spans="1:14" x14ac:dyDescent="0.25">
      <c r="A258">
        <v>57</v>
      </c>
      <c r="B258">
        <v>1</v>
      </c>
      <c r="C258">
        <v>2</v>
      </c>
      <c r="D258">
        <v>124</v>
      </c>
      <c r="E258">
        <v>261</v>
      </c>
      <c r="F258">
        <v>0</v>
      </c>
      <c r="G258">
        <v>0</v>
      </c>
      <c r="H258">
        <v>141</v>
      </c>
      <c r="I258">
        <v>0</v>
      </c>
      <c r="J258">
        <v>0.3</v>
      </c>
      <c r="K258">
        <v>1</v>
      </c>
      <c r="L258">
        <v>0</v>
      </c>
      <c r="M258">
        <v>7</v>
      </c>
      <c r="N258">
        <v>1</v>
      </c>
    </row>
    <row r="259" spans="1:14" x14ac:dyDescent="0.25">
      <c r="A259">
        <v>44</v>
      </c>
      <c r="B259">
        <v>0</v>
      </c>
      <c r="C259">
        <v>3</v>
      </c>
      <c r="D259">
        <v>118</v>
      </c>
      <c r="E259">
        <v>242</v>
      </c>
      <c r="F259">
        <v>0</v>
      </c>
      <c r="G259">
        <v>0</v>
      </c>
      <c r="H259">
        <v>149</v>
      </c>
      <c r="I259">
        <v>0</v>
      </c>
      <c r="J259">
        <v>0.3</v>
      </c>
      <c r="K259">
        <v>2</v>
      </c>
      <c r="L259">
        <v>1</v>
      </c>
      <c r="M259">
        <v>3</v>
      </c>
      <c r="N259">
        <v>0</v>
      </c>
    </row>
    <row r="260" spans="1:14" x14ac:dyDescent="0.25">
      <c r="A260">
        <v>58</v>
      </c>
      <c r="B260">
        <v>0</v>
      </c>
      <c r="C260">
        <v>2</v>
      </c>
      <c r="D260">
        <v>136</v>
      </c>
      <c r="E260">
        <v>319</v>
      </c>
      <c r="F260">
        <v>1</v>
      </c>
      <c r="G260">
        <v>2</v>
      </c>
      <c r="H260">
        <v>152</v>
      </c>
      <c r="I260">
        <v>0</v>
      </c>
      <c r="J260">
        <v>0</v>
      </c>
      <c r="K260">
        <v>1</v>
      </c>
      <c r="L260">
        <v>2</v>
      </c>
      <c r="M260">
        <v>3</v>
      </c>
      <c r="N260">
        <v>1</v>
      </c>
    </row>
    <row r="261" spans="1:14" x14ac:dyDescent="0.25">
      <c r="A261">
        <v>60</v>
      </c>
      <c r="B261">
        <v>0</v>
      </c>
      <c r="C261">
        <v>1</v>
      </c>
      <c r="D261">
        <v>150</v>
      </c>
      <c r="E261">
        <v>240</v>
      </c>
      <c r="F261">
        <v>0</v>
      </c>
      <c r="G261">
        <v>0</v>
      </c>
      <c r="H261">
        <v>171</v>
      </c>
      <c r="I261">
        <v>0</v>
      </c>
      <c r="J261">
        <v>0.9</v>
      </c>
      <c r="K261">
        <v>1</v>
      </c>
      <c r="L261">
        <v>0</v>
      </c>
      <c r="M261">
        <v>3</v>
      </c>
      <c r="N261">
        <v>0</v>
      </c>
    </row>
    <row r="262" spans="1:14" x14ac:dyDescent="0.25">
      <c r="A262">
        <v>44</v>
      </c>
      <c r="B262">
        <v>1</v>
      </c>
      <c r="C262">
        <v>3</v>
      </c>
      <c r="D262">
        <v>120</v>
      </c>
      <c r="E262">
        <v>226</v>
      </c>
      <c r="F262">
        <v>0</v>
      </c>
      <c r="G262">
        <v>0</v>
      </c>
      <c r="H262">
        <v>169</v>
      </c>
      <c r="I262">
        <v>0</v>
      </c>
      <c r="J262">
        <v>0</v>
      </c>
      <c r="K262">
        <v>1</v>
      </c>
      <c r="L262">
        <v>0</v>
      </c>
      <c r="M262">
        <v>3</v>
      </c>
      <c r="N262">
        <v>0</v>
      </c>
    </row>
    <row r="263" spans="1:14" x14ac:dyDescent="0.25">
      <c r="A263">
        <v>61</v>
      </c>
      <c r="B263">
        <v>1</v>
      </c>
      <c r="C263">
        <v>4</v>
      </c>
      <c r="D263">
        <v>138</v>
      </c>
      <c r="E263">
        <v>166</v>
      </c>
      <c r="F263">
        <v>0</v>
      </c>
      <c r="G263">
        <v>2</v>
      </c>
      <c r="H263">
        <v>125</v>
      </c>
      <c r="I263">
        <v>1</v>
      </c>
      <c r="J263">
        <v>3.6</v>
      </c>
      <c r="K263">
        <v>2</v>
      </c>
      <c r="L263">
        <v>1</v>
      </c>
      <c r="M263">
        <v>3</v>
      </c>
      <c r="N263">
        <v>1</v>
      </c>
    </row>
    <row r="264" spans="1:14" x14ac:dyDescent="0.25">
      <c r="A264">
        <v>42</v>
      </c>
      <c r="B264">
        <v>1</v>
      </c>
      <c r="C264">
        <v>4</v>
      </c>
      <c r="D264">
        <v>136</v>
      </c>
      <c r="E264">
        <v>315</v>
      </c>
      <c r="F264">
        <v>0</v>
      </c>
      <c r="G264">
        <v>0</v>
      </c>
      <c r="H264">
        <v>125</v>
      </c>
      <c r="I264">
        <v>1</v>
      </c>
      <c r="J264">
        <v>1.8</v>
      </c>
      <c r="K264">
        <v>2</v>
      </c>
      <c r="L264">
        <v>0</v>
      </c>
      <c r="M264">
        <v>6</v>
      </c>
      <c r="N264">
        <v>1</v>
      </c>
    </row>
    <row r="265" spans="1:14" x14ac:dyDescent="0.25">
      <c r="A265">
        <v>59</v>
      </c>
      <c r="B265">
        <v>1</v>
      </c>
      <c r="C265">
        <v>3</v>
      </c>
      <c r="D265">
        <v>126</v>
      </c>
      <c r="E265">
        <v>218</v>
      </c>
      <c r="F265">
        <v>1</v>
      </c>
      <c r="G265">
        <v>0</v>
      </c>
      <c r="H265">
        <v>134</v>
      </c>
      <c r="I265">
        <v>0</v>
      </c>
      <c r="J265">
        <v>2.2000000000000002</v>
      </c>
      <c r="K265">
        <v>2</v>
      </c>
      <c r="L265">
        <v>1</v>
      </c>
      <c r="M265">
        <v>6</v>
      </c>
      <c r="N265">
        <v>1</v>
      </c>
    </row>
    <row r="266" spans="1:14" x14ac:dyDescent="0.25">
      <c r="A266">
        <v>40</v>
      </c>
      <c r="B266">
        <v>1</v>
      </c>
      <c r="C266">
        <v>4</v>
      </c>
      <c r="D266">
        <v>152</v>
      </c>
      <c r="E266">
        <v>223</v>
      </c>
      <c r="F266">
        <v>0</v>
      </c>
      <c r="G266">
        <v>0</v>
      </c>
      <c r="H266">
        <v>181</v>
      </c>
      <c r="I266">
        <v>0</v>
      </c>
      <c r="J266">
        <v>0</v>
      </c>
      <c r="K266">
        <v>1</v>
      </c>
      <c r="L266">
        <v>0</v>
      </c>
      <c r="M266">
        <v>7</v>
      </c>
      <c r="N266">
        <v>1</v>
      </c>
    </row>
    <row r="267" spans="1:14" x14ac:dyDescent="0.25">
      <c r="A267">
        <v>42</v>
      </c>
      <c r="B267">
        <v>1</v>
      </c>
      <c r="C267">
        <v>3</v>
      </c>
      <c r="D267">
        <v>130</v>
      </c>
      <c r="E267">
        <v>180</v>
      </c>
      <c r="F267">
        <v>0</v>
      </c>
      <c r="G267">
        <v>0</v>
      </c>
      <c r="H267">
        <v>150</v>
      </c>
      <c r="I267">
        <v>0</v>
      </c>
      <c r="J267">
        <v>0</v>
      </c>
      <c r="K267">
        <v>1</v>
      </c>
      <c r="L267">
        <v>0</v>
      </c>
      <c r="M267">
        <v>3</v>
      </c>
      <c r="N267">
        <v>0</v>
      </c>
    </row>
    <row r="268" spans="1:14" x14ac:dyDescent="0.25">
      <c r="A268">
        <v>61</v>
      </c>
      <c r="B268">
        <v>1</v>
      </c>
      <c r="C268">
        <v>4</v>
      </c>
      <c r="D268">
        <v>140</v>
      </c>
      <c r="E268">
        <v>207</v>
      </c>
      <c r="F268">
        <v>0</v>
      </c>
      <c r="G268">
        <v>2</v>
      </c>
      <c r="H268">
        <v>138</v>
      </c>
      <c r="I268">
        <v>1</v>
      </c>
      <c r="J268">
        <v>1.9</v>
      </c>
      <c r="K268">
        <v>1</v>
      </c>
      <c r="L268">
        <v>1</v>
      </c>
      <c r="M268">
        <v>7</v>
      </c>
      <c r="N268">
        <v>1</v>
      </c>
    </row>
    <row r="269" spans="1:14" x14ac:dyDescent="0.25">
      <c r="A269">
        <v>66</v>
      </c>
      <c r="B269">
        <v>1</v>
      </c>
      <c r="C269">
        <v>4</v>
      </c>
      <c r="D269">
        <v>160</v>
      </c>
      <c r="E269">
        <v>228</v>
      </c>
      <c r="F269">
        <v>0</v>
      </c>
      <c r="G269">
        <v>2</v>
      </c>
      <c r="H269">
        <v>138</v>
      </c>
      <c r="I269">
        <v>0</v>
      </c>
      <c r="J269">
        <v>2.2999999999999998</v>
      </c>
      <c r="K269">
        <v>1</v>
      </c>
      <c r="L269">
        <v>0</v>
      </c>
      <c r="M269">
        <v>6</v>
      </c>
      <c r="N269">
        <v>0</v>
      </c>
    </row>
    <row r="270" spans="1:14" x14ac:dyDescent="0.25">
      <c r="A270">
        <v>46</v>
      </c>
      <c r="B270">
        <v>1</v>
      </c>
      <c r="C270">
        <v>4</v>
      </c>
      <c r="D270">
        <v>140</v>
      </c>
      <c r="E270">
        <v>311</v>
      </c>
      <c r="F270">
        <v>0</v>
      </c>
      <c r="G270">
        <v>0</v>
      </c>
      <c r="H270">
        <v>120</v>
      </c>
      <c r="I270">
        <v>1</v>
      </c>
      <c r="J270">
        <v>1.8</v>
      </c>
      <c r="K270">
        <v>2</v>
      </c>
      <c r="L270">
        <v>2</v>
      </c>
      <c r="M270">
        <v>7</v>
      </c>
      <c r="N270">
        <v>1</v>
      </c>
    </row>
    <row r="271" spans="1:14" x14ac:dyDescent="0.25">
      <c r="A271">
        <v>71</v>
      </c>
      <c r="B271">
        <v>0</v>
      </c>
      <c r="C271">
        <v>4</v>
      </c>
      <c r="D271">
        <v>112</v>
      </c>
      <c r="E271">
        <v>149</v>
      </c>
      <c r="F271">
        <v>0</v>
      </c>
      <c r="G271">
        <v>0</v>
      </c>
      <c r="H271">
        <v>125</v>
      </c>
      <c r="I271">
        <v>0</v>
      </c>
      <c r="J271">
        <v>1.6</v>
      </c>
      <c r="K271">
        <v>2</v>
      </c>
      <c r="L271">
        <v>0</v>
      </c>
      <c r="M271">
        <v>3</v>
      </c>
      <c r="N271">
        <v>0</v>
      </c>
    </row>
    <row r="272" spans="1:14" x14ac:dyDescent="0.25">
      <c r="A272">
        <v>59</v>
      </c>
      <c r="B272">
        <v>1</v>
      </c>
      <c r="C272">
        <v>1</v>
      </c>
      <c r="D272">
        <v>134</v>
      </c>
      <c r="E272">
        <v>204</v>
      </c>
      <c r="F272">
        <v>0</v>
      </c>
      <c r="G272">
        <v>0</v>
      </c>
      <c r="H272">
        <v>162</v>
      </c>
      <c r="I272">
        <v>0</v>
      </c>
      <c r="J272">
        <v>0.8</v>
      </c>
      <c r="K272">
        <v>1</v>
      </c>
      <c r="L272">
        <v>2</v>
      </c>
      <c r="M272">
        <v>3</v>
      </c>
      <c r="N272">
        <v>1</v>
      </c>
    </row>
    <row r="273" spans="1:14" x14ac:dyDescent="0.25">
      <c r="A273">
        <v>64</v>
      </c>
      <c r="B273">
        <v>1</v>
      </c>
      <c r="C273">
        <v>1</v>
      </c>
      <c r="D273">
        <v>170</v>
      </c>
      <c r="E273">
        <v>227</v>
      </c>
      <c r="F273">
        <v>0</v>
      </c>
      <c r="G273">
        <v>2</v>
      </c>
      <c r="H273">
        <v>155</v>
      </c>
      <c r="I273">
        <v>0</v>
      </c>
      <c r="J273">
        <v>0.6</v>
      </c>
      <c r="K273">
        <v>2</v>
      </c>
      <c r="L273">
        <v>0</v>
      </c>
      <c r="M273">
        <v>7</v>
      </c>
      <c r="N273">
        <v>0</v>
      </c>
    </row>
    <row r="274" spans="1:14" x14ac:dyDescent="0.25">
      <c r="A274">
        <v>66</v>
      </c>
      <c r="B274">
        <v>0</v>
      </c>
      <c r="C274">
        <v>3</v>
      </c>
      <c r="D274">
        <v>146</v>
      </c>
      <c r="E274">
        <v>278</v>
      </c>
      <c r="F274">
        <v>0</v>
      </c>
      <c r="G274">
        <v>2</v>
      </c>
      <c r="H274">
        <v>152</v>
      </c>
      <c r="I274">
        <v>0</v>
      </c>
      <c r="J274">
        <v>0</v>
      </c>
      <c r="K274">
        <v>2</v>
      </c>
      <c r="L274">
        <v>1</v>
      </c>
      <c r="M274">
        <v>3</v>
      </c>
      <c r="N274">
        <v>0</v>
      </c>
    </row>
    <row r="275" spans="1:14" x14ac:dyDescent="0.25">
      <c r="A275">
        <v>39</v>
      </c>
      <c r="B275">
        <v>0</v>
      </c>
      <c r="C275">
        <v>3</v>
      </c>
      <c r="D275">
        <v>138</v>
      </c>
      <c r="E275">
        <v>220</v>
      </c>
      <c r="F275">
        <v>0</v>
      </c>
      <c r="G275">
        <v>0</v>
      </c>
      <c r="H275">
        <v>152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0</v>
      </c>
    </row>
    <row r="276" spans="1:14" x14ac:dyDescent="0.25">
      <c r="A276">
        <v>57</v>
      </c>
      <c r="B276">
        <v>1</v>
      </c>
      <c r="C276">
        <v>2</v>
      </c>
      <c r="D276">
        <v>154</v>
      </c>
      <c r="E276">
        <v>232</v>
      </c>
      <c r="F276">
        <v>0</v>
      </c>
      <c r="G276">
        <v>2</v>
      </c>
      <c r="H276">
        <v>164</v>
      </c>
      <c r="I276">
        <v>0</v>
      </c>
      <c r="J276">
        <v>0</v>
      </c>
      <c r="K276">
        <v>1</v>
      </c>
      <c r="L276">
        <v>1</v>
      </c>
      <c r="M276">
        <v>3</v>
      </c>
      <c r="N276">
        <v>1</v>
      </c>
    </row>
    <row r="277" spans="1:14" x14ac:dyDescent="0.25">
      <c r="A277">
        <v>58</v>
      </c>
      <c r="B277">
        <v>0</v>
      </c>
      <c r="C277">
        <v>4</v>
      </c>
      <c r="D277">
        <v>130</v>
      </c>
      <c r="E277">
        <v>197</v>
      </c>
      <c r="F277">
        <v>0</v>
      </c>
      <c r="G277">
        <v>0</v>
      </c>
      <c r="H277">
        <v>131</v>
      </c>
      <c r="I277">
        <v>0</v>
      </c>
      <c r="J277">
        <v>0.6</v>
      </c>
      <c r="K277">
        <v>2</v>
      </c>
      <c r="L277">
        <v>0</v>
      </c>
      <c r="M277">
        <v>3</v>
      </c>
      <c r="N277">
        <v>0</v>
      </c>
    </row>
    <row r="278" spans="1:14" x14ac:dyDescent="0.25">
      <c r="A278">
        <v>57</v>
      </c>
      <c r="B278">
        <v>1</v>
      </c>
      <c r="C278">
        <v>4</v>
      </c>
      <c r="D278">
        <v>110</v>
      </c>
      <c r="E278">
        <v>335</v>
      </c>
      <c r="F278">
        <v>0</v>
      </c>
      <c r="G278">
        <v>0</v>
      </c>
      <c r="H278">
        <v>143</v>
      </c>
      <c r="I278">
        <v>1</v>
      </c>
      <c r="J278">
        <v>3</v>
      </c>
      <c r="K278">
        <v>2</v>
      </c>
      <c r="L278">
        <v>1</v>
      </c>
      <c r="M278">
        <v>7</v>
      </c>
      <c r="N278">
        <v>1</v>
      </c>
    </row>
    <row r="279" spans="1:14" x14ac:dyDescent="0.25">
      <c r="A279">
        <v>47</v>
      </c>
      <c r="B279">
        <v>1</v>
      </c>
      <c r="C279">
        <v>3</v>
      </c>
      <c r="D279">
        <v>130</v>
      </c>
      <c r="E279">
        <v>253</v>
      </c>
      <c r="F279">
        <v>0</v>
      </c>
      <c r="G279">
        <v>0</v>
      </c>
      <c r="H279">
        <v>179</v>
      </c>
      <c r="I279">
        <v>0</v>
      </c>
      <c r="J279">
        <v>0</v>
      </c>
      <c r="K279">
        <v>1</v>
      </c>
      <c r="L279">
        <v>0</v>
      </c>
      <c r="M279">
        <v>3</v>
      </c>
      <c r="N279">
        <v>0</v>
      </c>
    </row>
    <row r="280" spans="1:14" x14ac:dyDescent="0.25">
      <c r="A280">
        <v>55</v>
      </c>
      <c r="B280">
        <v>0</v>
      </c>
      <c r="C280">
        <v>4</v>
      </c>
      <c r="D280">
        <v>128</v>
      </c>
      <c r="E280">
        <v>205</v>
      </c>
      <c r="F280">
        <v>0</v>
      </c>
      <c r="G280">
        <v>1</v>
      </c>
      <c r="H280">
        <v>130</v>
      </c>
      <c r="I280">
        <v>1</v>
      </c>
      <c r="J280">
        <v>2</v>
      </c>
      <c r="K280">
        <v>2</v>
      </c>
      <c r="L280">
        <v>1</v>
      </c>
      <c r="M280">
        <v>7</v>
      </c>
      <c r="N280">
        <v>1</v>
      </c>
    </row>
    <row r="281" spans="1:14" x14ac:dyDescent="0.25">
      <c r="A281">
        <v>35</v>
      </c>
      <c r="B281">
        <v>1</v>
      </c>
      <c r="C281">
        <v>2</v>
      </c>
      <c r="D281">
        <v>122</v>
      </c>
      <c r="E281">
        <v>192</v>
      </c>
      <c r="F281">
        <v>0</v>
      </c>
      <c r="G281">
        <v>0</v>
      </c>
      <c r="H281">
        <v>174</v>
      </c>
      <c r="I281">
        <v>0</v>
      </c>
      <c r="J281">
        <v>0</v>
      </c>
      <c r="K281">
        <v>1</v>
      </c>
      <c r="L281">
        <v>0</v>
      </c>
      <c r="M281">
        <v>3</v>
      </c>
      <c r="N281">
        <v>0</v>
      </c>
    </row>
    <row r="282" spans="1:14" x14ac:dyDescent="0.25">
      <c r="A282">
        <v>61</v>
      </c>
      <c r="B282">
        <v>1</v>
      </c>
      <c r="C282">
        <v>4</v>
      </c>
      <c r="D282">
        <v>148</v>
      </c>
      <c r="E282">
        <v>203</v>
      </c>
      <c r="F282">
        <v>0</v>
      </c>
      <c r="G282">
        <v>0</v>
      </c>
      <c r="H282">
        <v>161</v>
      </c>
      <c r="I282">
        <v>0</v>
      </c>
      <c r="J282">
        <v>0</v>
      </c>
      <c r="K282">
        <v>1</v>
      </c>
      <c r="L282">
        <v>1</v>
      </c>
      <c r="M282">
        <v>7</v>
      </c>
      <c r="N282">
        <v>1</v>
      </c>
    </row>
    <row r="283" spans="1:14" x14ac:dyDescent="0.25">
      <c r="A283">
        <v>58</v>
      </c>
      <c r="B283">
        <v>1</v>
      </c>
      <c r="C283">
        <v>4</v>
      </c>
      <c r="D283">
        <v>114</v>
      </c>
      <c r="E283">
        <v>318</v>
      </c>
      <c r="F283">
        <v>0</v>
      </c>
      <c r="G283">
        <v>1</v>
      </c>
      <c r="H283">
        <v>140</v>
      </c>
      <c r="I283">
        <v>0</v>
      </c>
      <c r="J283">
        <v>4.4000000000000004</v>
      </c>
      <c r="K283">
        <v>3</v>
      </c>
      <c r="L283">
        <v>3</v>
      </c>
      <c r="M283">
        <v>6</v>
      </c>
      <c r="N283">
        <v>1</v>
      </c>
    </row>
    <row r="284" spans="1:14" x14ac:dyDescent="0.25">
      <c r="A284">
        <v>58</v>
      </c>
      <c r="B284">
        <v>0</v>
      </c>
      <c r="C284">
        <v>4</v>
      </c>
      <c r="D284">
        <v>170</v>
      </c>
      <c r="E284">
        <v>225</v>
      </c>
      <c r="F284">
        <v>1</v>
      </c>
      <c r="G284">
        <v>2</v>
      </c>
      <c r="H284">
        <v>146</v>
      </c>
      <c r="I284">
        <v>1</v>
      </c>
      <c r="J284">
        <v>2.8</v>
      </c>
      <c r="K284">
        <v>2</v>
      </c>
      <c r="L284">
        <v>2</v>
      </c>
      <c r="M284">
        <v>6</v>
      </c>
      <c r="N284">
        <v>1</v>
      </c>
    </row>
    <row r="285" spans="1:14" x14ac:dyDescent="0.25">
      <c r="A285">
        <v>56</v>
      </c>
      <c r="B285">
        <v>1</v>
      </c>
      <c r="C285">
        <v>2</v>
      </c>
      <c r="D285">
        <v>130</v>
      </c>
      <c r="E285">
        <v>221</v>
      </c>
      <c r="F285">
        <v>0</v>
      </c>
      <c r="G285">
        <v>2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7</v>
      </c>
      <c r="N285">
        <v>0</v>
      </c>
    </row>
    <row r="286" spans="1:14" x14ac:dyDescent="0.25">
      <c r="A286">
        <v>56</v>
      </c>
      <c r="B286">
        <v>1</v>
      </c>
      <c r="C286">
        <v>2</v>
      </c>
      <c r="D286">
        <v>120</v>
      </c>
      <c r="E286">
        <v>240</v>
      </c>
      <c r="F286">
        <v>0</v>
      </c>
      <c r="G286">
        <v>0</v>
      </c>
      <c r="H286">
        <v>169</v>
      </c>
      <c r="I286">
        <v>0</v>
      </c>
      <c r="J286">
        <v>0</v>
      </c>
      <c r="K286">
        <v>3</v>
      </c>
      <c r="L286">
        <v>0</v>
      </c>
      <c r="M286">
        <v>3</v>
      </c>
      <c r="N286">
        <v>0</v>
      </c>
    </row>
    <row r="287" spans="1:14" x14ac:dyDescent="0.25">
      <c r="A287">
        <v>67</v>
      </c>
      <c r="B287">
        <v>1</v>
      </c>
      <c r="C287">
        <v>3</v>
      </c>
      <c r="D287">
        <v>152</v>
      </c>
      <c r="E287">
        <v>212</v>
      </c>
      <c r="F287">
        <v>0</v>
      </c>
      <c r="G287">
        <v>2</v>
      </c>
      <c r="H287">
        <v>150</v>
      </c>
      <c r="I287">
        <v>0</v>
      </c>
      <c r="J287">
        <v>0.8</v>
      </c>
      <c r="K287">
        <v>2</v>
      </c>
      <c r="L287">
        <v>0</v>
      </c>
      <c r="M287">
        <v>7</v>
      </c>
      <c r="N287">
        <v>1</v>
      </c>
    </row>
    <row r="288" spans="1:14" x14ac:dyDescent="0.25">
      <c r="A288">
        <v>55</v>
      </c>
      <c r="B288">
        <v>0</v>
      </c>
      <c r="C288">
        <v>2</v>
      </c>
      <c r="D288">
        <v>132</v>
      </c>
      <c r="E288">
        <v>342</v>
      </c>
      <c r="F288">
        <v>0</v>
      </c>
      <c r="G288">
        <v>0</v>
      </c>
      <c r="H288">
        <v>166</v>
      </c>
      <c r="I288">
        <v>0</v>
      </c>
      <c r="J288">
        <v>1.2</v>
      </c>
      <c r="K288">
        <v>1</v>
      </c>
      <c r="L288">
        <v>0</v>
      </c>
      <c r="M288">
        <v>3</v>
      </c>
      <c r="N288">
        <v>0</v>
      </c>
    </row>
    <row r="289" spans="1:14" x14ac:dyDescent="0.25">
      <c r="A289">
        <v>44</v>
      </c>
      <c r="B289">
        <v>1</v>
      </c>
      <c r="C289">
        <v>4</v>
      </c>
      <c r="D289">
        <v>120</v>
      </c>
      <c r="E289">
        <v>169</v>
      </c>
      <c r="F289">
        <v>0</v>
      </c>
      <c r="G289">
        <v>0</v>
      </c>
      <c r="H289">
        <v>144</v>
      </c>
      <c r="I289">
        <v>1</v>
      </c>
      <c r="J289">
        <v>2.8</v>
      </c>
      <c r="K289">
        <v>3</v>
      </c>
      <c r="L289">
        <v>0</v>
      </c>
      <c r="M289">
        <v>6</v>
      </c>
      <c r="N289">
        <v>1</v>
      </c>
    </row>
    <row r="290" spans="1:14" x14ac:dyDescent="0.25">
      <c r="A290">
        <v>63</v>
      </c>
      <c r="B290">
        <v>1</v>
      </c>
      <c r="C290">
        <v>4</v>
      </c>
      <c r="D290">
        <v>140</v>
      </c>
      <c r="E290">
        <v>187</v>
      </c>
      <c r="F290">
        <v>0</v>
      </c>
      <c r="G290">
        <v>2</v>
      </c>
      <c r="H290">
        <v>144</v>
      </c>
      <c r="I290">
        <v>1</v>
      </c>
      <c r="J290">
        <v>4</v>
      </c>
      <c r="K290">
        <v>1</v>
      </c>
      <c r="L290">
        <v>2</v>
      </c>
      <c r="M290">
        <v>7</v>
      </c>
      <c r="N290">
        <v>1</v>
      </c>
    </row>
    <row r="291" spans="1:14" x14ac:dyDescent="0.25">
      <c r="A291">
        <v>63</v>
      </c>
      <c r="B291">
        <v>0</v>
      </c>
      <c r="C291">
        <v>4</v>
      </c>
      <c r="D291">
        <v>124</v>
      </c>
      <c r="E291">
        <v>197</v>
      </c>
      <c r="F291">
        <v>0</v>
      </c>
      <c r="G291">
        <v>0</v>
      </c>
      <c r="H291">
        <v>136</v>
      </c>
      <c r="I291">
        <v>1</v>
      </c>
      <c r="J291">
        <v>0</v>
      </c>
      <c r="K291">
        <v>2</v>
      </c>
      <c r="L291">
        <v>0</v>
      </c>
      <c r="M291">
        <v>3</v>
      </c>
      <c r="N291">
        <v>1</v>
      </c>
    </row>
    <row r="292" spans="1:14" x14ac:dyDescent="0.25">
      <c r="A292">
        <v>41</v>
      </c>
      <c r="B292">
        <v>1</v>
      </c>
      <c r="C292">
        <v>2</v>
      </c>
      <c r="D292">
        <v>120</v>
      </c>
      <c r="E292">
        <v>157</v>
      </c>
      <c r="F292">
        <v>0</v>
      </c>
      <c r="G292">
        <v>0</v>
      </c>
      <c r="H292">
        <v>182</v>
      </c>
      <c r="I292">
        <v>0</v>
      </c>
      <c r="J292">
        <v>0</v>
      </c>
      <c r="K292">
        <v>1</v>
      </c>
      <c r="L292">
        <v>0</v>
      </c>
      <c r="M292">
        <v>3</v>
      </c>
      <c r="N292">
        <v>0</v>
      </c>
    </row>
    <row r="293" spans="1:14" x14ac:dyDescent="0.25">
      <c r="A293">
        <v>59</v>
      </c>
      <c r="B293">
        <v>1</v>
      </c>
      <c r="C293">
        <v>4</v>
      </c>
      <c r="D293">
        <v>164</v>
      </c>
      <c r="E293">
        <v>176</v>
      </c>
      <c r="F293">
        <v>1</v>
      </c>
      <c r="G293">
        <v>2</v>
      </c>
      <c r="H293">
        <v>90</v>
      </c>
      <c r="I293">
        <v>0</v>
      </c>
      <c r="J293">
        <v>1</v>
      </c>
      <c r="K293">
        <v>2</v>
      </c>
      <c r="L293">
        <v>2</v>
      </c>
      <c r="M293">
        <v>6</v>
      </c>
      <c r="N293">
        <v>1</v>
      </c>
    </row>
    <row r="294" spans="1:14" x14ac:dyDescent="0.25">
      <c r="A294">
        <v>57</v>
      </c>
      <c r="B294">
        <v>0</v>
      </c>
      <c r="C294">
        <v>4</v>
      </c>
      <c r="D294">
        <v>140</v>
      </c>
      <c r="E294">
        <v>241</v>
      </c>
      <c r="F294">
        <v>0</v>
      </c>
      <c r="G294">
        <v>0</v>
      </c>
      <c r="H294">
        <v>123</v>
      </c>
      <c r="I294">
        <v>1</v>
      </c>
      <c r="J294">
        <v>0.2</v>
      </c>
      <c r="K294">
        <v>2</v>
      </c>
      <c r="L294">
        <v>0</v>
      </c>
      <c r="M294">
        <v>7</v>
      </c>
      <c r="N294">
        <v>1</v>
      </c>
    </row>
    <row r="295" spans="1:14" x14ac:dyDescent="0.25">
      <c r="A295">
        <v>45</v>
      </c>
      <c r="B295">
        <v>1</v>
      </c>
      <c r="C295">
        <v>1</v>
      </c>
      <c r="D295">
        <v>110</v>
      </c>
      <c r="E295">
        <v>264</v>
      </c>
      <c r="F295">
        <v>0</v>
      </c>
      <c r="G295">
        <v>0</v>
      </c>
      <c r="H295">
        <v>132</v>
      </c>
      <c r="I295">
        <v>0</v>
      </c>
      <c r="J295">
        <v>1.2</v>
      </c>
      <c r="K295">
        <v>2</v>
      </c>
      <c r="L295">
        <v>0</v>
      </c>
      <c r="M295">
        <v>7</v>
      </c>
      <c r="N295">
        <v>1</v>
      </c>
    </row>
    <row r="296" spans="1:14" x14ac:dyDescent="0.25">
      <c r="A296">
        <v>68</v>
      </c>
      <c r="B296">
        <v>1</v>
      </c>
      <c r="C296">
        <v>4</v>
      </c>
      <c r="D296">
        <v>144</v>
      </c>
      <c r="E296">
        <v>193</v>
      </c>
      <c r="F296">
        <v>1</v>
      </c>
      <c r="G296">
        <v>0</v>
      </c>
      <c r="H296">
        <v>141</v>
      </c>
      <c r="I296">
        <v>0</v>
      </c>
      <c r="J296">
        <v>3.4</v>
      </c>
      <c r="K296">
        <v>2</v>
      </c>
      <c r="L296">
        <v>2</v>
      </c>
      <c r="M296">
        <v>7</v>
      </c>
      <c r="N296">
        <v>1</v>
      </c>
    </row>
    <row r="297" spans="1:14" x14ac:dyDescent="0.25">
      <c r="A297">
        <v>57</v>
      </c>
      <c r="B297">
        <v>1</v>
      </c>
      <c r="C297">
        <v>4</v>
      </c>
      <c r="D297">
        <v>130</v>
      </c>
      <c r="E297">
        <v>131</v>
      </c>
      <c r="F297">
        <v>0</v>
      </c>
      <c r="G297">
        <v>0</v>
      </c>
      <c r="H297">
        <v>115</v>
      </c>
      <c r="I297">
        <v>1</v>
      </c>
      <c r="J297">
        <v>1.2</v>
      </c>
      <c r="K297">
        <v>2</v>
      </c>
      <c r="L297">
        <v>1</v>
      </c>
      <c r="M297">
        <v>7</v>
      </c>
      <c r="N297">
        <v>1</v>
      </c>
    </row>
    <row r="298" spans="1:14" x14ac:dyDescent="0.25">
      <c r="A298">
        <v>57</v>
      </c>
      <c r="B298">
        <v>0</v>
      </c>
      <c r="C298">
        <v>2</v>
      </c>
      <c r="D298">
        <v>130</v>
      </c>
      <c r="E298">
        <v>236</v>
      </c>
      <c r="F298">
        <v>0</v>
      </c>
      <c r="G298">
        <v>2</v>
      </c>
      <c r="H298">
        <v>174</v>
      </c>
      <c r="I298">
        <v>0</v>
      </c>
      <c r="J298">
        <v>0</v>
      </c>
      <c r="K298">
        <v>2</v>
      </c>
      <c r="L298">
        <v>1</v>
      </c>
      <c r="M298">
        <v>3</v>
      </c>
      <c r="N298">
        <v>1</v>
      </c>
    </row>
    <row r="300" spans="1:14" x14ac:dyDescent="0.25">
      <c r="A300" s="2" t="s">
        <v>14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5">
      <c r="A301">
        <v>36</v>
      </c>
      <c r="B301">
        <v>0</v>
      </c>
      <c r="C301">
        <v>4</v>
      </c>
      <c r="D301">
        <v>118</v>
      </c>
      <c r="E301">
        <v>150</v>
      </c>
      <c r="F301">
        <v>1</v>
      </c>
      <c r="G301">
        <v>0</v>
      </c>
      <c r="H301">
        <v>112</v>
      </c>
      <c r="I301">
        <v>0</v>
      </c>
      <c r="J301">
        <v>0.5</v>
      </c>
      <c r="K301">
        <v>2</v>
      </c>
      <c r="L301">
        <v>0</v>
      </c>
      <c r="M301">
        <v>3</v>
      </c>
      <c r="N301" s="1" t="s">
        <v>15</v>
      </c>
    </row>
    <row r="302" spans="1:14" x14ac:dyDescent="0.25">
      <c r="A302">
        <v>67</v>
      </c>
      <c r="B302">
        <v>1</v>
      </c>
      <c r="C302">
        <v>3</v>
      </c>
      <c r="D302">
        <v>144</v>
      </c>
      <c r="E302">
        <v>232</v>
      </c>
      <c r="F302">
        <v>0</v>
      </c>
      <c r="G302">
        <v>2</v>
      </c>
      <c r="H302">
        <v>174</v>
      </c>
      <c r="I302">
        <v>1</v>
      </c>
      <c r="J302">
        <v>0</v>
      </c>
      <c r="K302">
        <v>1</v>
      </c>
      <c r="L302">
        <v>0</v>
      </c>
      <c r="M302">
        <v>3</v>
      </c>
      <c r="N302" s="1" t="s">
        <v>15</v>
      </c>
    </row>
  </sheetData>
  <mergeCells count="1">
    <mergeCell ref="A300:N3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4B54-B976-4CEB-8000-B84EF7972706}">
  <dimension ref="A1:T302"/>
  <sheetViews>
    <sheetView workbookViewId="0">
      <selection activeCell="M14" sqref="M14"/>
    </sheetView>
  </sheetViews>
  <sheetFormatPr defaultRowHeight="15" x14ac:dyDescent="0.25"/>
  <cols>
    <col min="15" max="15" width="16.140625" bestFit="1" customWidth="1"/>
    <col min="18" max="18" width="10.42578125" bestFit="1" customWidth="1"/>
    <col min="19" max="19" width="12.42578125" bestFit="1" customWidth="1"/>
    <col min="20" max="20" width="13.7109375" bestFit="1" customWidth="1"/>
  </cols>
  <sheetData>
    <row r="1" spans="1:20" x14ac:dyDescent="0.25">
      <c r="A1" s="4">
        <v>13</v>
      </c>
      <c r="B1" s="4">
        <v>12</v>
      </c>
      <c r="C1" s="4">
        <v>11</v>
      </c>
      <c r="D1" s="4">
        <v>10</v>
      </c>
      <c r="E1" s="4">
        <v>9</v>
      </c>
      <c r="F1" s="4">
        <v>8</v>
      </c>
      <c r="G1" s="4">
        <v>7</v>
      </c>
      <c r="H1" s="4">
        <v>6</v>
      </c>
      <c r="I1" s="4">
        <v>5</v>
      </c>
      <c r="J1" s="4">
        <v>4</v>
      </c>
      <c r="K1" s="4">
        <v>3</v>
      </c>
      <c r="L1" s="4">
        <v>2</v>
      </c>
      <c r="M1" s="4">
        <v>1</v>
      </c>
      <c r="N1" s="9">
        <v>14</v>
      </c>
      <c r="O1" s="9"/>
      <c r="P1" s="4"/>
      <c r="Q1" s="4"/>
      <c r="R1" s="4"/>
      <c r="S1" s="4" t="s">
        <v>36</v>
      </c>
      <c r="T1" s="4">
        <v>-102.34435190000001</v>
      </c>
    </row>
    <row r="2" spans="1:20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9" t="s">
        <v>29</v>
      </c>
      <c r="O2" s="9"/>
      <c r="P2" s="4"/>
      <c r="Q2" s="4"/>
      <c r="R2" s="4"/>
      <c r="S2" s="4"/>
      <c r="T2" s="4"/>
    </row>
    <row r="3" spans="1:20" x14ac:dyDescent="0.25">
      <c r="A3" s="4">
        <v>-1.228205E-3</v>
      </c>
      <c r="B3" s="4">
        <v>0.14569183199999999</v>
      </c>
      <c r="C3" s="4">
        <v>8.2763233000000005E-2</v>
      </c>
      <c r="D3" s="4">
        <v>2.1361739999999998E-3</v>
      </c>
      <c r="E3" s="4">
        <v>3.5489899999999999E-4</v>
      </c>
      <c r="F3" s="4">
        <v>-9.8238291000000005E-2</v>
      </c>
      <c r="G3" s="4">
        <v>3.2657706000000002E-2</v>
      </c>
      <c r="H3" s="4">
        <v>-2.626195E-3</v>
      </c>
      <c r="I3" s="4">
        <v>0.13475306400000001</v>
      </c>
      <c r="J3" s="4">
        <v>3.2428048000000001E-2</v>
      </c>
      <c r="K3" s="4">
        <v>6.1034589E-2</v>
      </c>
      <c r="L3" s="4">
        <v>0.143198724</v>
      </c>
      <c r="M3" s="4">
        <v>6.0623662000000002E-2</v>
      </c>
      <c r="N3" s="9">
        <v>-0.38603111299999998</v>
      </c>
      <c r="O3" s="9"/>
      <c r="P3" s="4"/>
      <c r="Q3" s="4" t="s">
        <v>37</v>
      </c>
      <c r="R3" s="4">
        <v>45</v>
      </c>
      <c r="S3" s="4"/>
      <c r="T3" s="4"/>
    </row>
    <row r="4" spans="1:20" x14ac:dyDescent="0.25">
      <c r="A4" s="4">
        <v>-1.4160183999999999E-2</v>
      </c>
      <c r="B4" s="4">
        <v>1.3121170499999999</v>
      </c>
      <c r="C4" s="4">
        <v>0.57591599199999999</v>
      </c>
      <c r="D4" s="4">
        <v>2.4044639999999999E-2</v>
      </c>
      <c r="E4" s="4">
        <v>4.9954860000000004E-3</v>
      </c>
      <c r="F4" s="4">
        <v>-1.0219373810000001</v>
      </c>
      <c r="G4" s="4">
        <v>0.245152495</v>
      </c>
      <c r="H4" s="4">
        <v>-2.0663905E-2</v>
      </c>
      <c r="I4" s="4">
        <v>0.92611808200000001</v>
      </c>
      <c r="J4" s="4">
        <v>0.247385508</v>
      </c>
      <c r="K4" s="4">
        <v>0.57003817499999998</v>
      </c>
      <c r="L4" s="4">
        <v>1.2677216790000001</v>
      </c>
      <c r="M4" s="4">
        <v>0.343936409</v>
      </c>
      <c r="N4" s="9">
        <v>-7.3727374599999997</v>
      </c>
      <c r="O4" s="9"/>
      <c r="P4" s="4"/>
      <c r="Q4" s="4"/>
      <c r="R4" s="4"/>
      <c r="S4" s="4"/>
      <c r="T4" s="4"/>
    </row>
    <row r="5" spans="1:20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7" t="s">
        <v>13</v>
      </c>
      <c r="O5" s="6" t="s">
        <v>30</v>
      </c>
      <c r="P5" s="6" t="s">
        <v>31</v>
      </c>
      <c r="Q5" s="6" t="s">
        <v>32</v>
      </c>
      <c r="R5" s="6" t="s">
        <v>33</v>
      </c>
      <c r="S5" s="8" t="s">
        <v>34</v>
      </c>
      <c r="T5" s="8" t="s">
        <v>35</v>
      </c>
    </row>
    <row r="6" spans="1:20" x14ac:dyDescent="0.25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 s="5">
        <f>SUMPRODUCT(A$4:M$4, A7:M7)+N$4</f>
        <v>6.1010128340000023</v>
      </c>
      <c r="P6">
        <f>1/(1+EXP(0-O6))</f>
        <v>0.99776441183580133</v>
      </c>
      <c r="Q6">
        <f>IF(P6&lt;=0.5, 0, 1)</f>
        <v>1</v>
      </c>
      <c r="R6">
        <f>IF(N6=Q6, 0, 1)</f>
        <v>1</v>
      </c>
      <c r="S6">
        <f>IF(N6=1, P6, 1-P6)</f>
        <v>2.2355881641986652E-3</v>
      </c>
      <c r="T6">
        <f>IF(S6=0, -100000, LN(S6))</f>
        <v>-6.1032509248220261</v>
      </c>
    </row>
    <row r="7" spans="1:20" x14ac:dyDescent="0.25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 s="5">
        <f t="shared" ref="O7:O70" si="0">SUMPRODUCT(A$4:M$4, A7:M7)+N$4</f>
        <v>6.1010128340000023</v>
      </c>
      <c r="P7">
        <f t="shared" ref="P7:P70" si="1">1/(1+EXP(0-O7))</f>
        <v>0.99776441183580133</v>
      </c>
      <c r="Q7">
        <f t="shared" ref="Q7:Q70" si="2">IF(P7&lt;=0.5, 0, 1)</f>
        <v>1</v>
      </c>
      <c r="R7">
        <f t="shared" ref="R7:R70" si="3">IF(N7=Q7, 0, 1)</f>
        <v>0</v>
      </c>
      <c r="S7">
        <f t="shared" ref="S7:S70" si="4">IF(N7=1, P7, 1-P7)</f>
        <v>0.99776441183580133</v>
      </c>
      <c r="T7">
        <f t="shared" ref="T7:T70" si="5">IF(S7=0, -100000, LN(S7))</f>
        <v>-2.2380908220558551E-3</v>
      </c>
    </row>
    <row r="8" spans="1:20" x14ac:dyDescent="0.25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 s="5">
        <f t="shared" si="0"/>
        <v>4.8006905428</v>
      </c>
      <c r="P8">
        <f t="shared" si="1"/>
        <v>0.99184301754405402</v>
      </c>
      <c r="Q8">
        <f t="shared" si="2"/>
        <v>1</v>
      </c>
      <c r="R8">
        <f t="shared" si="3"/>
        <v>0</v>
      </c>
      <c r="S8">
        <f t="shared" si="4"/>
        <v>0.99184301754405402</v>
      </c>
      <c r="T8">
        <f t="shared" si="5"/>
        <v>-8.1904326633642673E-3</v>
      </c>
    </row>
    <row r="9" spans="1:20" x14ac:dyDescent="0.25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 s="5">
        <f t="shared" si="0"/>
        <v>-0.73850174699999993</v>
      </c>
      <c r="P9">
        <f t="shared" si="1"/>
        <v>0.32333185728425623</v>
      </c>
      <c r="Q9">
        <f t="shared" si="2"/>
        <v>0</v>
      </c>
      <c r="R9">
        <f t="shared" si="3"/>
        <v>0</v>
      </c>
      <c r="S9">
        <f t="shared" si="4"/>
        <v>0.67666814271574371</v>
      </c>
      <c r="T9">
        <f t="shared" si="5"/>
        <v>-0.39057431426347705</v>
      </c>
    </row>
    <row r="10" spans="1:20" x14ac:dyDescent="0.25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 s="5">
        <f t="shared" si="0"/>
        <v>-3.7722902327999992</v>
      </c>
      <c r="P10">
        <f t="shared" si="1"/>
        <v>2.2482252383989074E-2</v>
      </c>
      <c r="Q10">
        <f t="shared" si="2"/>
        <v>0</v>
      </c>
      <c r="R10">
        <f t="shared" si="3"/>
        <v>0</v>
      </c>
      <c r="S10">
        <f t="shared" si="4"/>
        <v>0.97751774761601096</v>
      </c>
      <c r="T10">
        <f t="shared" si="5"/>
        <v>-2.2738831158525263E-2</v>
      </c>
    </row>
    <row r="11" spans="1:20" x14ac:dyDescent="0.25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 s="5">
        <f t="shared" si="0"/>
        <v>-3.5158865155999997</v>
      </c>
      <c r="P11">
        <f t="shared" si="1"/>
        <v>2.8863575637956666E-2</v>
      </c>
      <c r="Q11">
        <f t="shared" si="2"/>
        <v>0</v>
      </c>
      <c r="R11">
        <f t="shared" si="3"/>
        <v>0</v>
      </c>
      <c r="S11">
        <f t="shared" si="4"/>
        <v>0.97113642436204328</v>
      </c>
      <c r="T11">
        <f t="shared" si="5"/>
        <v>-2.9288321731791168E-2</v>
      </c>
    </row>
    <row r="12" spans="1:20" x14ac:dyDescent="0.25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 s="5">
        <f t="shared" si="0"/>
        <v>2.1100700768000014</v>
      </c>
      <c r="P12">
        <f t="shared" si="1"/>
        <v>0.89187809103884097</v>
      </c>
      <c r="Q12">
        <f t="shared" si="2"/>
        <v>1</v>
      </c>
      <c r="R12">
        <f t="shared" si="3"/>
        <v>0</v>
      </c>
      <c r="S12">
        <f t="shared" si="4"/>
        <v>0.89187809103884097</v>
      </c>
      <c r="T12">
        <f t="shared" si="5"/>
        <v>-0.11442582498118666</v>
      </c>
    </row>
    <row r="13" spans="1:20" x14ac:dyDescent="0.25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 s="5">
        <f t="shared" si="0"/>
        <v>-1.9142648621999996</v>
      </c>
      <c r="P13">
        <f t="shared" si="1"/>
        <v>0.12850247477318877</v>
      </c>
      <c r="Q13">
        <f t="shared" si="2"/>
        <v>0</v>
      </c>
      <c r="R13">
        <f t="shared" si="3"/>
        <v>0</v>
      </c>
      <c r="S13">
        <f t="shared" si="4"/>
        <v>0.87149752522681123</v>
      </c>
      <c r="T13">
        <f t="shared" si="5"/>
        <v>-0.13754225369699263</v>
      </c>
    </row>
    <row r="14" spans="1:20" x14ac:dyDescent="0.25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 s="5">
        <f t="shared" si="0"/>
        <v>2.3600121682000008</v>
      </c>
      <c r="P14">
        <f t="shared" si="1"/>
        <v>0.91372676473011583</v>
      </c>
      <c r="Q14">
        <f t="shared" si="2"/>
        <v>1</v>
      </c>
      <c r="R14">
        <f t="shared" si="3"/>
        <v>0</v>
      </c>
      <c r="S14">
        <f t="shared" si="4"/>
        <v>0.91372676473011583</v>
      </c>
      <c r="T14">
        <f t="shared" si="5"/>
        <v>-9.0223696717391402E-2</v>
      </c>
    </row>
    <row r="15" spans="1:20" x14ac:dyDescent="0.25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 s="5">
        <f t="shared" si="0"/>
        <v>1.9490319428000014</v>
      </c>
      <c r="P15">
        <f t="shared" si="1"/>
        <v>0.87534104665985146</v>
      </c>
      <c r="Q15">
        <f t="shared" si="2"/>
        <v>1</v>
      </c>
      <c r="R15">
        <f t="shared" si="3"/>
        <v>0</v>
      </c>
      <c r="S15">
        <f t="shared" si="4"/>
        <v>0.87534104665985146</v>
      </c>
      <c r="T15">
        <f t="shared" si="5"/>
        <v>-0.13314170095292729</v>
      </c>
    </row>
    <row r="16" spans="1:20" x14ac:dyDescent="0.25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 s="5">
        <f t="shared" si="0"/>
        <v>5.6870492000005157E-3</v>
      </c>
      <c r="P16">
        <f t="shared" si="1"/>
        <v>0.50142175846806347</v>
      </c>
      <c r="Q16">
        <f t="shared" si="2"/>
        <v>1</v>
      </c>
      <c r="R16">
        <f t="shared" si="3"/>
        <v>1</v>
      </c>
      <c r="S16">
        <f t="shared" si="4"/>
        <v>0.49857824153193653</v>
      </c>
      <c r="T16">
        <f t="shared" si="5"/>
        <v>-0.6959947479705727</v>
      </c>
    </row>
    <row r="17" spans="1:20" x14ac:dyDescent="0.25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 s="5">
        <f t="shared" si="0"/>
        <v>-2.3567390335999994</v>
      </c>
      <c r="P17">
        <f t="shared" si="1"/>
        <v>8.6531606659247862E-2</v>
      </c>
      <c r="Q17">
        <f t="shared" si="2"/>
        <v>0</v>
      </c>
      <c r="R17">
        <f t="shared" si="3"/>
        <v>0</v>
      </c>
      <c r="S17">
        <f t="shared" si="4"/>
        <v>0.91346839334075214</v>
      </c>
      <c r="T17">
        <f t="shared" si="5"/>
        <v>-9.0506503280165476E-2</v>
      </c>
    </row>
    <row r="18" spans="1:20" x14ac:dyDescent="0.25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 s="5">
        <f t="shared" si="0"/>
        <v>1.3588638468000021</v>
      </c>
      <c r="P18">
        <f t="shared" si="1"/>
        <v>0.79557498100214519</v>
      </c>
      <c r="Q18">
        <f t="shared" si="2"/>
        <v>1</v>
      </c>
      <c r="R18">
        <f t="shared" si="3"/>
        <v>0</v>
      </c>
      <c r="S18">
        <f t="shared" si="4"/>
        <v>0.79557498100214519</v>
      </c>
      <c r="T18">
        <f t="shared" si="5"/>
        <v>-0.22869017920096946</v>
      </c>
    </row>
    <row r="19" spans="1:20" x14ac:dyDescent="0.25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 s="5">
        <f t="shared" si="0"/>
        <v>-1.9299294309999997</v>
      </c>
      <c r="P19">
        <f t="shared" si="1"/>
        <v>0.12675839124851199</v>
      </c>
      <c r="Q19">
        <f t="shared" si="2"/>
        <v>0</v>
      </c>
      <c r="R19">
        <f t="shared" si="3"/>
        <v>0</v>
      </c>
      <c r="S19">
        <f t="shared" si="4"/>
        <v>0.87324160875148804</v>
      </c>
      <c r="T19">
        <f t="shared" si="5"/>
        <v>-0.13554300455809737</v>
      </c>
    </row>
    <row r="20" spans="1:20" x14ac:dyDescent="0.25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 s="5">
        <f t="shared" si="0"/>
        <v>-1.2076264069999993</v>
      </c>
      <c r="P20">
        <f t="shared" si="1"/>
        <v>0.2301213003127022</v>
      </c>
      <c r="Q20">
        <f t="shared" si="2"/>
        <v>0</v>
      </c>
      <c r="R20">
        <f t="shared" si="3"/>
        <v>0</v>
      </c>
      <c r="S20">
        <f t="shared" si="4"/>
        <v>0.76987869968729783</v>
      </c>
      <c r="T20">
        <f t="shared" si="5"/>
        <v>-0.26152230941765314</v>
      </c>
    </row>
    <row r="21" spans="1:20" x14ac:dyDescent="0.25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 s="5">
        <f t="shared" si="0"/>
        <v>-2.2919205291999996</v>
      </c>
      <c r="P21">
        <f t="shared" si="1"/>
        <v>9.1794313455560272E-2</v>
      </c>
      <c r="Q21">
        <f t="shared" si="2"/>
        <v>0</v>
      </c>
      <c r="R21">
        <f t="shared" si="3"/>
        <v>0</v>
      </c>
      <c r="S21">
        <f t="shared" si="4"/>
        <v>0.90820568654443967</v>
      </c>
      <c r="T21">
        <f t="shared" si="5"/>
        <v>-9.628439900289644E-2</v>
      </c>
    </row>
    <row r="22" spans="1:20" x14ac:dyDescent="0.25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 s="5">
        <f t="shared" si="0"/>
        <v>-0.90608170800000032</v>
      </c>
      <c r="P22">
        <f t="shared" si="1"/>
        <v>0.28780230970057641</v>
      </c>
      <c r="Q22">
        <f t="shared" si="2"/>
        <v>0</v>
      </c>
      <c r="R22">
        <f t="shared" si="3"/>
        <v>1</v>
      </c>
      <c r="S22">
        <f t="shared" si="4"/>
        <v>0.28780230970057641</v>
      </c>
      <c r="T22">
        <f t="shared" si="5"/>
        <v>-1.2454814591942331</v>
      </c>
    </row>
    <row r="23" spans="1:20" x14ac:dyDescent="0.25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 s="5">
        <f t="shared" si="0"/>
        <v>-1.3689504124000003</v>
      </c>
      <c r="P23">
        <f t="shared" si="1"/>
        <v>0.20278947602850639</v>
      </c>
      <c r="Q23">
        <f t="shared" si="2"/>
        <v>0</v>
      </c>
      <c r="R23">
        <f t="shared" si="3"/>
        <v>0</v>
      </c>
      <c r="S23">
        <f t="shared" si="4"/>
        <v>0.79721052397149361</v>
      </c>
      <c r="T23">
        <f t="shared" si="5"/>
        <v>-0.22663648956217544</v>
      </c>
    </row>
    <row r="24" spans="1:20" x14ac:dyDescent="0.25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 s="5">
        <f t="shared" si="0"/>
        <v>-3.0460747573999996</v>
      </c>
      <c r="P24">
        <f t="shared" si="1"/>
        <v>4.5387240245366688E-2</v>
      </c>
      <c r="Q24">
        <f t="shared" si="2"/>
        <v>0</v>
      </c>
      <c r="R24">
        <f t="shared" si="3"/>
        <v>0</v>
      </c>
      <c r="S24">
        <f t="shared" si="4"/>
        <v>0.95461275975463333</v>
      </c>
      <c r="T24">
        <f t="shared" si="5"/>
        <v>-4.6449507901481828E-2</v>
      </c>
    </row>
    <row r="25" spans="1:20" x14ac:dyDescent="0.25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 s="5">
        <f t="shared" si="0"/>
        <v>-2.9312840142000001</v>
      </c>
      <c r="P25">
        <f t="shared" si="1"/>
        <v>5.0628572754882785E-2</v>
      </c>
      <c r="Q25">
        <f t="shared" si="2"/>
        <v>0</v>
      </c>
      <c r="R25">
        <f t="shared" si="3"/>
        <v>0</v>
      </c>
      <c r="S25">
        <f t="shared" si="4"/>
        <v>0.94937142724511725</v>
      </c>
      <c r="T25">
        <f t="shared" si="5"/>
        <v>-5.195516890963011E-2</v>
      </c>
    </row>
    <row r="26" spans="1:20" x14ac:dyDescent="0.25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 s="5">
        <f t="shared" si="0"/>
        <v>-1.6339980045999987</v>
      </c>
      <c r="P26">
        <f t="shared" si="1"/>
        <v>0.16328341051183587</v>
      </c>
      <c r="Q26">
        <f t="shared" si="2"/>
        <v>0</v>
      </c>
      <c r="R26">
        <f t="shared" si="3"/>
        <v>0</v>
      </c>
      <c r="S26">
        <f t="shared" si="4"/>
        <v>0.83671658948816408</v>
      </c>
      <c r="T26">
        <f t="shared" si="5"/>
        <v>-0.17826986859357083</v>
      </c>
    </row>
    <row r="27" spans="1:20" x14ac:dyDescent="0.25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 s="5">
        <f t="shared" si="0"/>
        <v>-4.6276456929999998</v>
      </c>
      <c r="P27">
        <f t="shared" si="1"/>
        <v>9.6830731687192403E-3</v>
      </c>
      <c r="Q27">
        <f t="shared" si="2"/>
        <v>0</v>
      </c>
      <c r="R27">
        <f t="shared" si="3"/>
        <v>0</v>
      </c>
      <c r="S27">
        <f t="shared" si="4"/>
        <v>0.99031692683128081</v>
      </c>
      <c r="T27">
        <f t="shared" si="5"/>
        <v>-9.7302589711675946E-3</v>
      </c>
    </row>
    <row r="28" spans="1:20" x14ac:dyDescent="0.25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 s="5">
        <f t="shared" si="0"/>
        <v>-1.624744592599999</v>
      </c>
      <c r="P28">
        <f t="shared" si="1"/>
        <v>0.16455157185520203</v>
      </c>
      <c r="Q28">
        <f t="shared" si="2"/>
        <v>0</v>
      </c>
      <c r="R28">
        <f t="shared" si="3"/>
        <v>1</v>
      </c>
      <c r="S28">
        <f t="shared" si="4"/>
        <v>0.16455157185520203</v>
      </c>
      <c r="T28">
        <f t="shared" si="5"/>
        <v>-1.8045312511911196</v>
      </c>
    </row>
    <row r="29" spans="1:20" x14ac:dyDescent="0.25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 s="5">
        <f t="shared" si="0"/>
        <v>2.358837684600001</v>
      </c>
      <c r="P29">
        <f t="shared" si="1"/>
        <v>0.91363413499558366</v>
      </c>
      <c r="Q29">
        <f t="shared" si="2"/>
        <v>1</v>
      </c>
      <c r="R29">
        <f t="shared" si="3"/>
        <v>0</v>
      </c>
      <c r="S29">
        <f t="shared" si="4"/>
        <v>0.91363413499558366</v>
      </c>
      <c r="T29">
        <f t="shared" si="5"/>
        <v>-9.0325077604577295E-2</v>
      </c>
    </row>
    <row r="30" spans="1:20" x14ac:dyDescent="0.25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 s="5">
        <f t="shared" si="0"/>
        <v>4.9138932362000016</v>
      </c>
      <c r="P30">
        <f t="shared" si="1"/>
        <v>0.99270969753038352</v>
      </c>
      <c r="Q30">
        <f t="shared" si="2"/>
        <v>1</v>
      </c>
      <c r="R30">
        <f t="shared" si="3"/>
        <v>0</v>
      </c>
      <c r="S30">
        <f t="shared" si="4"/>
        <v>0.99270969753038352</v>
      </c>
      <c r="T30">
        <f t="shared" si="5"/>
        <v>-7.3170065912387611E-3</v>
      </c>
    </row>
    <row r="31" spans="1:20" x14ac:dyDescent="0.25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 s="5">
        <f t="shared" si="0"/>
        <v>-3.0708250501999999</v>
      </c>
      <c r="P31">
        <f t="shared" si="1"/>
        <v>4.4326863675685411E-2</v>
      </c>
      <c r="Q31">
        <f t="shared" si="2"/>
        <v>0</v>
      </c>
      <c r="R31">
        <f t="shared" si="3"/>
        <v>0</v>
      </c>
      <c r="S31">
        <f t="shared" si="4"/>
        <v>0.95567313632431461</v>
      </c>
      <c r="T31">
        <f t="shared" si="5"/>
        <v>-4.5339332005018926E-2</v>
      </c>
    </row>
    <row r="32" spans="1:20" x14ac:dyDescent="0.25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 s="5">
        <f t="shared" si="0"/>
        <v>-3.8348023739999992</v>
      </c>
      <c r="P32">
        <f t="shared" si="1"/>
        <v>2.1148677837649857E-2</v>
      </c>
      <c r="Q32">
        <f t="shared" si="2"/>
        <v>0</v>
      </c>
      <c r="R32">
        <f t="shared" si="3"/>
        <v>0</v>
      </c>
      <c r="S32">
        <f t="shared" si="4"/>
        <v>0.97885132216235016</v>
      </c>
      <c r="T32">
        <f t="shared" si="5"/>
        <v>-2.137551503020171E-2</v>
      </c>
    </row>
    <row r="33" spans="1:20" x14ac:dyDescent="0.25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 s="5">
        <f t="shared" si="0"/>
        <v>-1.9662768732</v>
      </c>
      <c r="P33">
        <f t="shared" si="1"/>
        <v>0.12278934984976084</v>
      </c>
      <c r="Q33">
        <f t="shared" si="2"/>
        <v>0</v>
      </c>
      <c r="R33">
        <f t="shared" si="3"/>
        <v>0</v>
      </c>
      <c r="S33">
        <f t="shared" si="4"/>
        <v>0.87721065015023914</v>
      </c>
      <c r="T33">
        <f t="shared" si="5"/>
        <v>-0.13100812143796214</v>
      </c>
    </row>
    <row r="34" spans="1:20" x14ac:dyDescent="0.25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 s="5">
        <f t="shared" si="0"/>
        <v>-1.0858654030000015</v>
      </c>
      <c r="P34">
        <f t="shared" si="1"/>
        <v>0.25239764923824731</v>
      </c>
      <c r="Q34">
        <f t="shared" si="2"/>
        <v>0</v>
      </c>
      <c r="R34">
        <f t="shared" si="3"/>
        <v>0</v>
      </c>
      <c r="S34">
        <f t="shared" si="4"/>
        <v>0.74760235076175263</v>
      </c>
      <c r="T34">
        <f t="shared" si="5"/>
        <v>-0.29088405899455383</v>
      </c>
    </row>
    <row r="35" spans="1:20" x14ac:dyDescent="0.25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 s="5">
        <f t="shared" si="0"/>
        <v>2.2589328910000006</v>
      </c>
      <c r="P35">
        <f t="shared" si="1"/>
        <v>0.90541828761680776</v>
      </c>
      <c r="Q35">
        <f t="shared" si="2"/>
        <v>1</v>
      </c>
      <c r="R35">
        <f t="shared" si="3"/>
        <v>0</v>
      </c>
      <c r="S35">
        <f t="shared" si="4"/>
        <v>0.90541828761680776</v>
      </c>
      <c r="T35">
        <f t="shared" si="5"/>
        <v>-9.935824580033617E-2</v>
      </c>
    </row>
    <row r="36" spans="1:20" x14ac:dyDescent="0.25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 s="5">
        <f t="shared" si="0"/>
        <v>-1.7513683905999997</v>
      </c>
      <c r="P36">
        <f t="shared" si="1"/>
        <v>0.14787468709528093</v>
      </c>
      <c r="Q36">
        <f t="shared" si="2"/>
        <v>0</v>
      </c>
      <c r="R36">
        <f t="shared" si="3"/>
        <v>0</v>
      </c>
      <c r="S36">
        <f t="shared" si="4"/>
        <v>0.85212531290471905</v>
      </c>
      <c r="T36">
        <f t="shared" si="5"/>
        <v>-0.16002168209406922</v>
      </c>
    </row>
    <row r="37" spans="1:20" x14ac:dyDescent="0.25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 s="5">
        <f t="shared" si="0"/>
        <v>1.8129491862000009</v>
      </c>
      <c r="P37">
        <f t="shared" si="1"/>
        <v>0.85971793247109274</v>
      </c>
      <c r="Q37">
        <f t="shared" si="2"/>
        <v>1</v>
      </c>
      <c r="R37">
        <f t="shared" si="3"/>
        <v>0</v>
      </c>
      <c r="S37">
        <f t="shared" si="4"/>
        <v>0.85971793247109274</v>
      </c>
      <c r="T37">
        <f t="shared" si="5"/>
        <v>-0.15115092903232055</v>
      </c>
    </row>
    <row r="38" spans="1:20" x14ac:dyDescent="0.25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 s="5">
        <f t="shared" si="0"/>
        <v>-1.8624363879999999</v>
      </c>
      <c r="P38">
        <f t="shared" si="1"/>
        <v>0.1344193237589362</v>
      </c>
      <c r="Q38">
        <f t="shared" si="2"/>
        <v>0</v>
      </c>
      <c r="R38">
        <f t="shared" si="3"/>
        <v>1</v>
      </c>
      <c r="S38">
        <f t="shared" si="4"/>
        <v>0.1344193237589362</v>
      </c>
      <c r="T38">
        <f t="shared" si="5"/>
        <v>-2.0067910832598739</v>
      </c>
    </row>
    <row r="39" spans="1:20" x14ac:dyDescent="0.25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 s="5">
        <f t="shared" si="0"/>
        <v>0.16699808799999971</v>
      </c>
      <c r="P39">
        <f t="shared" si="1"/>
        <v>0.54165276468487178</v>
      </c>
      <c r="Q39">
        <f t="shared" si="2"/>
        <v>1</v>
      </c>
      <c r="R39">
        <f t="shared" si="3"/>
        <v>1</v>
      </c>
      <c r="S39">
        <f t="shared" si="4"/>
        <v>0.45834723531512822</v>
      </c>
      <c r="T39">
        <f t="shared" si="5"/>
        <v>-0.78012822641292523</v>
      </c>
    </row>
    <row r="40" spans="1:20" x14ac:dyDescent="0.25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 s="5">
        <f t="shared" si="0"/>
        <v>-1.7380883998000005</v>
      </c>
      <c r="P40">
        <f t="shared" si="1"/>
        <v>0.14955590608550759</v>
      </c>
      <c r="Q40">
        <f t="shared" si="2"/>
        <v>0</v>
      </c>
      <c r="R40">
        <f t="shared" si="3"/>
        <v>0</v>
      </c>
      <c r="S40">
        <f t="shared" si="4"/>
        <v>0.85044409391449238</v>
      </c>
      <c r="T40">
        <f t="shared" si="5"/>
        <v>-0.16199660250545758</v>
      </c>
    </row>
    <row r="41" spans="1:20" x14ac:dyDescent="0.25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 s="5">
        <f t="shared" si="0"/>
        <v>-1.9327824220000007</v>
      </c>
      <c r="P41">
        <f t="shared" si="1"/>
        <v>0.12644292781014019</v>
      </c>
      <c r="Q41">
        <f t="shared" si="2"/>
        <v>0</v>
      </c>
      <c r="R41">
        <f t="shared" si="3"/>
        <v>0</v>
      </c>
      <c r="S41">
        <f t="shared" si="4"/>
        <v>0.87355707218985978</v>
      </c>
      <c r="T41">
        <f t="shared" si="5"/>
        <v>-0.13518181417566438</v>
      </c>
    </row>
    <row r="42" spans="1:20" x14ac:dyDescent="0.25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 s="5">
        <f t="shared" si="0"/>
        <v>2.5065629230000006</v>
      </c>
      <c r="P42">
        <f t="shared" si="1"/>
        <v>0.92460062648721575</v>
      </c>
      <c r="Q42">
        <f t="shared" si="2"/>
        <v>1</v>
      </c>
      <c r="R42">
        <f t="shared" si="3"/>
        <v>0</v>
      </c>
      <c r="S42">
        <f t="shared" si="4"/>
        <v>0.92460062648721575</v>
      </c>
      <c r="T42">
        <f t="shared" si="5"/>
        <v>-7.8393389851759004E-2</v>
      </c>
    </row>
    <row r="43" spans="1:20" x14ac:dyDescent="0.25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 s="5">
        <f t="shared" si="0"/>
        <v>4.1432767058000017</v>
      </c>
      <c r="P43">
        <f t="shared" si="1"/>
        <v>0.98437718361514204</v>
      </c>
      <c r="Q43">
        <f t="shared" si="2"/>
        <v>1</v>
      </c>
      <c r="R43">
        <f t="shared" si="3"/>
        <v>0</v>
      </c>
      <c r="S43">
        <f t="shared" si="4"/>
        <v>0.98437718361514204</v>
      </c>
      <c r="T43">
        <f t="shared" si="5"/>
        <v>-1.574613869489969E-2</v>
      </c>
    </row>
    <row r="44" spans="1:20" x14ac:dyDescent="0.25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 s="5">
        <f t="shared" si="0"/>
        <v>3.7122305995999998</v>
      </c>
      <c r="P44">
        <f t="shared" si="1"/>
        <v>0.97615927704125016</v>
      </c>
      <c r="Q44">
        <f t="shared" si="2"/>
        <v>1</v>
      </c>
      <c r="R44">
        <f t="shared" si="3"/>
        <v>0</v>
      </c>
      <c r="S44">
        <f t="shared" si="4"/>
        <v>0.97615927704125016</v>
      </c>
      <c r="T44">
        <f t="shared" si="5"/>
        <v>-2.4129512193880712E-2</v>
      </c>
    </row>
    <row r="45" spans="1:20" x14ac:dyDescent="0.25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 s="5">
        <f t="shared" si="0"/>
        <v>-0.88354775899999893</v>
      </c>
      <c r="P45">
        <f t="shared" si="1"/>
        <v>0.29244313589605908</v>
      </c>
      <c r="Q45">
        <f t="shared" si="2"/>
        <v>0</v>
      </c>
      <c r="R45">
        <f t="shared" si="3"/>
        <v>0</v>
      </c>
      <c r="S45">
        <f t="shared" si="4"/>
        <v>0.70755686410394092</v>
      </c>
      <c r="T45">
        <f t="shared" si="5"/>
        <v>-0.34593727940271501</v>
      </c>
    </row>
    <row r="46" spans="1:20" x14ac:dyDescent="0.25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 s="5">
        <f t="shared" si="0"/>
        <v>4.4739964759999999</v>
      </c>
      <c r="P46">
        <f t="shared" si="1"/>
        <v>0.98872687410553328</v>
      </c>
      <c r="Q46">
        <f t="shared" si="2"/>
        <v>1</v>
      </c>
      <c r="R46">
        <f t="shared" si="3"/>
        <v>0</v>
      </c>
      <c r="S46">
        <f t="shared" si="4"/>
        <v>0.98872687410553328</v>
      </c>
      <c r="T46">
        <f t="shared" si="5"/>
        <v>-1.133714919475327E-2</v>
      </c>
    </row>
    <row r="47" spans="1:20" x14ac:dyDescent="0.25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 s="5">
        <f t="shared" si="0"/>
        <v>-1.118884722799999</v>
      </c>
      <c r="P47">
        <f t="shared" si="1"/>
        <v>0.24621821461535609</v>
      </c>
      <c r="Q47">
        <f t="shared" si="2"/>
        <v>0</v>
      </c>
      <c r="R47">
        <f t="shared" si="3"/>
        <v>0</v>
      </c>
      <c r="S47">
        <f t="shared" si="4"/>
        <v>0.75378178538464391</v>
      </c>
      <c r="T47">
        <f t="shared" si="5"/>
        <v>-0.2826523621653213</v>
      </c>
    </row>
    <row r="48" spans="1:20" x14ac:dyDescent="0.25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 s="5">
        <f t="shared" si="0"/>
        <v>-0.98180701479999932</v>
      </c>
      <c r="P48">
        <f t="shared" si="1"/>
        <v>0.27253337960690793</v>
      </c>
      <c r="Q48">
        <f t="shared" si="2"/>
        <v>0</v>
      </c>
      <c r="R48">
        <f t="shared" si="3"/>
        <v>0</v>
      </c>
      <c r="S48">
        <f t="shared" si="4"/>
        <v>0.72746662039309207</v>
      </c>
      <c r="T48">
        <f t="shared" si="5"/>
        <v>-0.31818716361030841</v>
      </c>
    </row>
    <row r="49" spans="1:20" x14ac:dyDescent="0.25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 s="5">
        <f t="shared" si="0"/>
        <v>-2.7710905092000004</v>
      </c>
      <c r="P49">
        <f t="shared" si="1"/>
        <v>5.8906530308513443E-2</v>
      </c>
      <c r="Q49">
        <f t="shared" si="2"/>
        <v>0</v>
      </c>
      <c r="R49">
        <f t="shared" si="3"/>
        <v>0</v>
      </c>
      <c r="S49">
        <f t="shared" si="4"/>
        <v>0.94109346969148655</v>
      </c>
      <c r="T49">
        <f t="shared" si="5"/>
        <v>-6.0712814158060624E-2</v>
      </c>
    </row>
    <row r="50" spans="1:20" x14ac:dyDescent="0.25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 s="5">
        <f t="shared" si="0"/>
        <v>-2.5585786889999991</v>
      </c>
      <c r="P50">
        <f t="shared" si="1"/>
        <v>7.1852271153937788E-2</v>
      </c>
      <c r="Q50">
        <f t="shared" si="2"/>
        <v>0</v>
      </c>
      <c r="R50">
        <f t="shared" si="3"/>
        <v>1</v>
      </c>
      <c r="S50">
        <f t="shared" si="4"/>
        <v>7.1852271153937788E-2</v>
      </c>
      <c r="T50">
        <f t="shared" si="5"/>
        <v>-2.6331430572985317</v>
      </c>
    </row>
    <row r="51" spans="1:20" x14ac:dyDescent="0.25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 s="5">
        <f t="shared" si="0"/>
        <v>1.2023756809999995</v>
      </c>
      <c r="P51">
        <f t="shared" si="1"/>
        <v>0.76894713431309902</v>
      </c>
      <c r="Q51">
        <f t="shared" si="2"/>
        <v>1</v>
      </c>
      <c r="R51">
        <f t="shared" si="3"/>
        <v>0</v>
      </c>
      <c r="S51">
        <f t="shared" si="4"/>
        <v>0.76894713431309902</v>
      </c>
      <c r="T51">
        <f t="shared" si="5"/>
        <v>-0.26273305785638512</v>
      </c>
    </row>
    <row r="52" spans="1:20" x14ac:dyDescent="0.25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 s="5">
        <f t="shared" si="0"/>
        <v>-2.3273029761999995</v>
      </c>
      <c r="P52">
        <f t="shared" si="1"/>
        <v>8.8886842302271785E-2</v>
      </c>
      <c r="Q52">
        <f t="shared" si="2"/>
        <v>0</v>
      </c>
      <c r="R52">
        <f t="shared" si="3"/>
        <v>0</v>
      </c>
      <c r="S52">
        <f t="shared" si="4"/>
        <v>0.91111315769772827</v>
      </c>
      <c r="T52">
        <f t="shared" si="5"/>
        <v>-9.3088176814930576E-2</v>
      </c>
    </row>
    <row r="53" spans="1:20" x14ac:dyDescent="0.25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 s="5">
        <f t="shared" si="0"/>
        <v>2.3917921398000015</v>
      </c>
      <c r="P53">
        <f t="shared" si="1"/>
        <v>0.91619926798720042</v>
      </c>
      <c r="Q53">
        <f t="shared" si="2"/>
        <v>1</v>
      </c>
      <c r="R53">
        <f t="shared" si="3"/>
        <v>0</v>
      </c>
      <c r="S53">
        <f t="shared" si="4"/>
        <v>0.91619926798720042</v>
      </c>
      <c r="T53">
        <f t="shared" si="5"/>
        <v>-8.7521396495978607E-2</v>
      </c>
    </row>
    <row r="54" spans="1:20" x14ac:dyDescent="0.25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 s="5">
        <f t="shared" si="0"/>
        <v>-1.8244221705999992</v>
      </c>
      <c r="P54">
        <f t="shared" si="1"/>
        <v>0.1389040931554249</v>
      </c>
      <c r="Q54">
        <f t="shared" si="2"/>
        <v>0</v>
      </c>
      <c r="R54">
        <f t="shared" si="3"/>
        <v>0</v>
      </c>
      <c r="S54">
        <f t="shared" si="4"/>
        <v>0.86109590684457515</v>
      </c>
      <c r="T54">
        <f t="shared" si="5"/>
        <v>-0.14954939069443293</v>
      </c>
    </row>
    <row r="55" spans="1:20" x14ac:dyDescent="0.25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 s="5">
        <f t="shared" si="0"/>
        <v>-1.6072078333999995</v>
      </c>
      <c r="P55">
        <f t="shared" si="1"/>
        <v>0.16697663015174327</v>
      </c>
      <c r="Q55">
        <f t="shared" si="2"/>
        <v>0</v>
      </c>
      <c r="R55">
        <f t="shared" si="3"/>
        <v>0</v>
      </c>
      <c r="S55">
        <f t="shared" si="4"/>
        <v>0.83302336984825676</v>
      </c>
      <c r="T55">
        <f t="shared" si="5"/>
        <v>-0.18269358216890555</v>
      </c>
    </row>
    <row r="56" spans="1:20" x14ac:dyDescent="0.25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 s="5">
        <f t="shared" si="0"/>
        <v>-3.8896465509999998</v>
      </c>
      <c r="P56">
        <f t="shared" si="1"/>
        <v>2.0042649927449401E-2</v>
      </c>
      <c r="Q56">
        <f t="shared" si="2"/>
        <v>0</v>
      </c>
      <c r="R56">
        <f t="shared" si="3"/>
        <v>0</v>
      </c>
      <c r="S56">
        <f t="shared" si="4"/>
        <v>0.97995735007255058</v>
      </c>
      <c r="T56">
        <f t="shared" si="5"/>
        <v>-2.0246228598688725E-2</v>
      </c>
    </row>
    <row r="57" spans="1:20" x14ac:dyDescent="0.25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 s="5">
        <f t="shared" si="0"/>
        <v>-0.72421003880000079</v>
      </c>
      <c r="P57">
        <f t="shared" si="1"/>
        <v>0.32646657825602715</v>
      </c>
      <c r="Q57">
        <f t="shared" si="2"/>
        <v>0</v>
      </c>
      <c r="R57">
        <f t="shared" si="3"/>
        <v>0</v>
      </c>
      <c r="S57">
        <f t="shared" si="4"/>
        <v>0.67353342174397279</v>
      </c>
      <c r="T57">
        <f t="shared" si="5"/>
        <v>-0.39521766039268286</v>
      </c>
    </row>
    <row r="58" spans="1:20" x14ac:dyDescent="0.25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 s="5">
        <f t="shared" si="0"/>
        <v>-4.0017311999999805E-2</v>
      </c>
      <c r="P58">
        <f t="shared" si="1"/>
        <v>0.48999700685152198</v>
      </c>
      <c r="Q58">
        <f t="shared" si="2"/>
        <v>0</v>
      </c>
      <c r="R58">
        <f t="shared" si="3"/>
        <v>1</v>
      </c>
      <c r="S58">
        <f t="shared" si="4"/>
        <v>0.48999700685152198</v>
      </c>
      <c r="T58">
        <f t="shared" si="5"/>
        <v>-0.71335599636240321</v>
      </c>
    </row>
    <row r="59" spans="1:20" x14ac:dyDescent="0.25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 s="5">
        <f t="shared" si="0"/>
        <v>-3.1046836359999999</v>
      </c>
      <c r="P59">
        <f t="shared" si="1"/>
        <v>4.2914472439743029E-2</v>
      </c>
      <c r="Q59">
        <f t="shared" si="2"/>
        <v>0</v>
      </c>
      <c r="R59">
        <f t="shared" si="3"/>
        <v>0</v>
      </c>
      <c r="S59">
        <f t="shared" si="4"/>
        <v>0.957085527560257</v>
      </c>
      <c r="T59">
        <f t="shared" si="5"/>
        <v>-4.386252103110061E-2</v>
      </c>
    </row>
    <row r="60" spans="1:20" x14ac:dyDescent="0.25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 s="5">
        <f t="shared" si="0"/>
        <v>2.3252638662000003</v>
      </c>
      <c r="P60">
        <f t="shared" si="1"/>
        <v>0.91094787989731452</v>
      </c>
      <c r="Q60">
        <f t="shared" si="2"/>
        <v>1</v>
      </c>
      <c r="R60">
        <f t="shared" si="3"/>
        <v>0</v>
      </c>
      <c r="S60">
        <f t="shared" si="4"/>
        <v>0.91094787989731452</v>
      </c>
      <c r="T60">
        <f t="shared" si="5"/>
        <v>-9.3269595326667398E-2</v>
      </c>
    </row>
    <row r="61" spans="1:20" x14ac:dyDescent="0.25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 s="5">
        <f t="shared" si="0"/>
        <v>4.3123866945999989</v>
      </c>
      <c r="P61">
        <f t="shared" si="1"/>
        <v>0.98677569975970114</v>
      </c>
      <c r="Q61">
        <f t="shared" si="2"/>
        <v>1</v>
      </c>
      <c r="R61">
        <f t="shared" si="3"/>
        <v>0</v>
      </c>
      <c r="S61">
        <f t="shared" si="4"/>
        <v>0.98677569975970114</v>
      </c>
      <c r="T61">
        <f t="shared" si="5"/>
        <v>-1.3312519924325014E-2</v>
      </c>
    </row>
    <row r="62" spans="1:20" x14ac:dyDescent="0.25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 s="5">
        <f t="shared" si="0"/>
        <v>1.0848838858000001</v>
      </c>
      <c r="P62">
        <f t="shared" si="1"/>
        <v>0.74741710025642749</v>
      </c>
      <c r="Q62">
        <f t="shared" si="2"/>
        <v>1</v>
      </c>
      <c r="R62">
        <f t="shared" si="3"/>
        <v>0</v>
      </c>
      <c r="S62">
        <f t="shared" si="4"/>
        <v>0.74741710025642749</v>
      </c>
      <c r="T62">
        <f t="shared" si="5"/>
        <v>-0.29113188253443767</v>
      </c>
    </row>
    <row r="63" spans="1:20" x14ac:dyDescent="0.25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 s="5">
        <f t="shared" si="0"/>
        <v>-0.63038895599999911</v>
      </c>
      <c r="P63">
        <f t="shared" si="1"/>
        <v>0.3474223484469291</v>
      </c>
      <c r="Q63">
        <f t="shared" si="2"/>
        <v>0</v>
      </c>
      <c r="R63">
        <f t="shared" si="3"/>
        <v>1</v>
      </c>
      <c r="S63">
        <f t="shared" si="4"/>
        <v>0.3474223484469291</v>
      </c>
      <c r="T63">
        <f t="shared" si="5"/>
        <v>-1.0572140966543624</v>
      </c>
    </row>
    <row r="64" spans="1:20" x14ac:dyDescent="0.25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 s="5">
        <f t="shared" si="0"/>
        <v>0.7545549230000006</v>
      </c>
      <c r="P64">
        <f t="shared" si="1"/>
        <v>0.68017038302150967</v>
      </c>
      <c r="Q64">
        <f t="shared" si="2"/>
        <v>1</v>
      </c>
      <c r="R64">
        <f t="shared" si="3"/>
        <v>1</v>
      </c>
      <c r="S64">
        <f t="shared" si="4"/>
        <v>0.31982961697849033</v>
      </c>
      <c r="T64">
        <f t="shared" si="5"/>
        <v>-1.139966871930792</v>
      </c>
    </row>
    <row r="65" spans="1:20" x14ac:dyDescent="0.25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 s="5">
        <f t="shared" si="0"/>
        <v>-8.7911544799999852E-2</v>
      </c>
      <c r="P65">
        <f t="shared" si="1"/>
        <v>0.47803625743331474</v>
      </c>
      <c r="Q65">
        <f t="shared" si="2"/>
        <v>0</v>
      </c>
      <c r="R65">
        <f t="shared" si="3"/>
        <v>0</v>
      </c>
      <c r="S65">
        <f t="shared" si="4"/>
        <v>0.52196374256668521</v>
      </c>
      <c r="T65">
        <f t="shared" si="5"/>
        <v>-0.6501571521963756</v>
      </c>
    </row>
    <row r="66" spans="1:20" x14ac:dyDescent="0.25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 s="5">
        <f t="shared" si="0"/>
        <v>0.69452094860000102</v>
      </c>
      <c r="P66">
        <f t="shared" si="1"/>
        <v>0.66697187852362927</v>
      </c>
      <c r="Q66">
        <f t="shared" si="2"/>
        <v>1</v>
      </c>
      <c r="R66">
        <f t="shared" si="3"/>
        <v>0</v>
      </c>
      <c r="S66">
        <f t="shared" si="4"/>
        <v>0.66697187852362927</v>
      </c>
      <c r="T66">
        <f t="shared" si="5"/>
        <v>-0.40500739508930805</v>
      </c>
    </row>
    <row r="67" spans="1:20" x14ac:dyDescent="0.25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 s="5">
        <f t="shared" si="0"/>
        <v>-0.79935631079999947</v>
      </c>
      <c r="P67">
        <f t="shared" si="1"/>
        <v>0.31016322706863919</v>
      </c>
      <c r="Q67">
        <f t="shared" si="2"/>
        <v>0</v>
      </c>
      <c r="R67">
        <f t="shared" si="3"/>
        <v>0</v>
      </c>
      <c r="S67">
        <f t="shared" si="4"/>
        <v>0.68983677293136081</v>
      </c>
      <c r="T67">
        <f t="shared" si="5"/>
        <v>-0.37130027034483387</v>
      </c>
    </row>
    <row r="68" spans="1:20" x14ac:dyDescent="0.25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 s="5">
        <f t="shared" si="0"/>
        <v>6.1829876666000008</v>
      </c>
      <c r="P68">
        <f t="shared" si="1"/>
        <v>0.99794000101788238</v>
      </c>
      <c r="Q68">
        <f t="shared" si="2"/>
        <v>1</v>
      </c>
      <c r="R68">
        <f t="shared" si="3"/>
        <v>0</v>
      </c>
      <c r="S68">
        <f t="shared" si="4"/>
        <v>0.99794000101788238</v>
      </c>
      <c r="T68">
        <f t="shared" si="5"/>
        <v>-2.0621236984645851E-3</v>
      </c>
    </row>
    <row r="69" spans="1:20" x14ac:dyDescent="0.25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 s="5">
        <f t="shared" si="0"/>
        <v>-4.5779391049999996</v>
      </c>
      <c r="P69">
        <f t="shared" si="1"/>
        <v>1.0171529187181191E-2</v>
      </c>
      <c r="Q69">
        <f t="shared" si="2"/>
        <v>0</v>
      </c>
      <c r="R69">
        <f t="shared" si="3"/>
        <v>0</v>
      </c>
      <c r="S69">
        <f t="shared" si="4"/>
        <v>0.98982847081281877</v>
      </c>
      <c r="T69">
        <f t="shared" si="5"/>
        <v>-1.0223612670295559E-2</v>
      </c>
    </row>
    <row r="70" spans="1:20" x14ac:dyDescent="0.25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 s="5">
        <f t="shared" si="0"/>
        <v>2.1295731282000006</v>
      </c>
      <c r="P70">
        <f t="shared" si="1"/>
        <v>0.89374447713497585</v>
      </c>
      <c r="Q70">
        <f t="shared" si="2"/>
        <v>1</v>
      </c>
      <c r="R70">
        <f t="shared" si="3"/>
        <v>0</v>
      </c>
      <c r="S70">
        <f t="shared" si="4"/>
        <v>0.89374447713497585</v>
      </c>
      <c r="T70">
        <f t="shared" si="5"/>
        <v>-0.11233536442241004</v>
      </c>
    </row>
    <row r="71" spans="1:20" x14ac:dyDescent="0.25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 s="5">
        <f t="shared" ref="O71:O134" si="6">SUMPRODUCT(A$4:M$4, A71:M71)+N$4</f>
        <v>5.5465349254000014</v>
      </c>
      <c r="P71">
        <f t="shared" ref="P71:P134" si="7">1/(1+EXP(0-O71))</f>
        <v>0.99611420734882994</v>
      </c>
      <c r="Q71">
        <f t="shared" ref="Q71:Q134" si="8">IF(P71&lt;=0.5, 0, 1)</f>
        <v>1</v>
      </c>
      <c r="R71">
        <f t="shared" ref="R71:R134" si="9">IF(N71=Q71, 0, 1)</f>
        <v>0</v>
      </c>
      <c r="S71">
        <f t="shared" ref="S71:S134" si="10">IF(N71=1, P71, 1-P71)</f>
        <v>0.99611420734882994</v>
      </c>
      <c r="T71">
        <f t="shared" ref="T71:T134" si="11">IF(S71=0, -100000, LN(S71))</f>
        <v>-3.893361958302098E-3</v>
      </c>
    </row>
    <row r="72" spans="1:20" x14ac:dyDescent="0.25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 s="5">
        <f t="shared" si="6"/>
        <v>-0.69062714799999902</v>
      </c>
      <c r="P72">
        <f t="shared" si="7"/>
        <v>0.33389357557717181</v>
      </c>
      <c r="Q72">
        <f t="shared" si="8"/>
        <v>0</v>
      </c>
      <c r="R72">
        <f t="shared" si="9"/>
        <v>1</v>
      </c>
      <c r="S72">
        <f t="shared" si="10"/>
        <v>0.33389357557717181</v>
      </c>
      <c r="T72">
        <f t="shared" si="11"/>
        <v>-1.0969329727771635</v>
      </c>
    </row>
    <row r="73" spans="1:20" x14ac:dyDescent="0.25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 s="5">
        <f t="shared" si="6"/>
        <v>0.12229689780000008</v>
      </c>
      <c r="P73">
        <f t="shared" si="7"/>
        <v>0.53053617433024614</v>
      </c>
      <c r="Q73">
        <f t="shared" si="8"/>
        <v>1</v>
      </c>
      <c r="R73">
        <f t="shared" si="9"/>
        <v>1</v>
      </c>
      <c r="S73">
        <f t="shared" si="10"/>
        <v>0.46946382566975386</v>
      </c>
      <c r="T73">
        <f t="shared" si="11"/>
        <v>-0.75616403192893966</v>
      </c>
    </row>
    <row r="74" spans="1:20" x14ac:dyDescent="0.25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 s="5">
        <f t="shared" si="6"/>
        <v>4.6059664252000001</v>
      </c>
      <c r="P74">
        <f t="shared" si="7"/>
        <v>0.99010681235731623</v>
      </c>
      <c r="Q74">
        <f t="shared" si="8"/>
        <v>1</v>
      </c>
      <c r="R74">
        <f t="shared" si="9"/>
        <v>0</v>
      </c>
      <c r="S74">
        <f t="shared" si="10"/>
        <v>0.99010681235731623</v>
      </c>
      <c r="T74">
        <f t="shared" si="11"/>
        <v>-9.9424504033295124E-3</v>
      </c>
    </row>
    <row r="75" spans="1:20" x14ac:dyDescent="0.25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 s="5">
        <f t="shared" si="6"/>
        <v>-0.19870826120000018</v>
      </c>
      <c r="P75">
        <f t="shared" si="7"/>
        <v>0.45048574998661201</v>
      </c>
      <c r="Q75">
        <f t="shared" si="8"/>
        <v>0</v>
      </c>
      <c r="R75">
        <f t="shared" si="9"/>
        <v>1</v>
      </c>
      <c r="S75">
        <f t="shared" si="10"/>
        <v>0.45048574998661201</v>
      </c>
      <c r="T75">
        <f t="shared" si="11"/>
        <v>-0.79742883398428333</v>
      </c>
    </row>
    <row r="76" spans="1:20" x14ac:dyDescent="0.25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 s="5">
        <f t="shared" si="6"/>
        <v>-2.7531986415999992</v>
      </c>
      <c r="P76">
        <f t="shared" si="7"/>
        <v>5.9906256898193407E-2</v>
      </c>
      <c r="Q76">
        <f t="shared" si="8"/>
        <v>0</v>
      </c>
      <c r="R76">
        <f t="shared" si="9"/>
        <v>0</v>
      </c>
      <c r="S76">
        <f t="shared" si="10"/>
        <v>0.9400937431018066</v>
      </c>
      <c r="T76">
        <f t="shared" si="11"/>
        <v>-6.1775681986415067E-2</v>
      </c>
    </row>
    <row r="77" spans="1:20" x14ac:dyDescent="0.25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 s="5">
        <f t="shared" si="6"/>
        <v>1.3111424506000002</v>
      </c>
      <c r="P77">
        <f t="shared" si="7"/>
        <v>0.78770426640785984</v>
      </c>
      <c r="Q77">
        <f t="shared" si="8"/>
        <v>1</v>
      </c>
      <c r="R77">
        <f t="shared" si="9"/>
        <v>0</v>
      </c>
      <c r="S77">
        <f t="shared" si="10"/>
        <v>0.78770426640785984</v>
      </c>
      <c r="T77">
        <f t="shared" si="11"/>
        <v>-0.23863255600231653</v>
      </c>
    </row>
    <row r="78" spans="1:20" x14ac:dyDescent="0.25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 s="5">
        <f t="shared" si="6"/>
        <v>4.9930236844000007</v>
      </c>
      <c r="P78">
        <f t="shared" si="7"/>
        <v>0.99326061016089318</v>
      </c>
      <c r="Q78">
        <f t="shared" si="8"/>
        <v>1</v>
      </c>
      <c r="R78">
        <f t="shared" si="9"/>
        <v>0</v>
      </c>
      <c r="S78">
        <f t="shared" si="10"/>
        <v>0.99326061016089318</v>
      </c>
      <c r="T78">
        <f t="shared" si="11"/>
        <v>-6.7622020782937692E-3</v>
      </c>
    </row>
    <row r="79" spans="1:20" x14ac:dyDescent="0.25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 s="5">
        <f t="shared" si="6"/>
        <v>1.7493618178000006</v>
      </c>
      <c r="P79">
        <f t="shared" si="7"/>
        <v>0.8518722904609386</v>
      </c>
      <c r="Q79">
        <f t="shared" si="8"/>
        <v>1</v>
      </c>
      <c r="R79">
        <f t="shared" si="9"/>
        <v>0</v>
      </c>
      <c r="S79">
        <f t="shared" si="10"/>
        <v>0.8518722904609386</v>
      </c>
      <c r="T79">
        <f t="shared" si="11"/>
        <v>-0.16031865721321292</v>
      </c>
    </row>
    <row r="80" spans="1:20" x14ac:dyDescent="0.25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 s="5">
        <f t="shared" si="6"/>
        <v>-1.0486205099999983</v>
      </c>
      <c r="P80">
        <f t="shared" si="7"/>
        <v>0.25949008873478679</v>
      </c>
      <c r="Q80">
        <f t="shared" si="8"/>
        <v>0</v>
      </c>
      <c r="R80">
        <f t="shared" si="9"/>
        <v>1</v>
      </c>
      <c r="S80">
        <f t="shared" si="10"/>
        <v>0.25949008873478679</v>
      </c>
      <c r="T80">
        <f t="shared" si="11"/>
        <v>-1.3490367708058353</v>
      </c>
    </row>
    <row r="81" spans="1:20" x14ac:dyDescent="0.25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 s="5">
        <f t="shared" si="6"/>
        <v>-1.7500729405999991</v>
      </c>
      <c r="P81">
        <f t="shared" si="7"/>
        <v>0.14803799832650261</v>
      </c>
      <c r="Q81">
        <f t="shared" si="8"/>
        <v>0</v>
      </c>
      <c r="R81">
        <f t="shared" si="9"/>
        <v>0</v>
      </c>
      <c r="S81">
        <f t="shared" si="10"/>
        <v>0.85196200167349745</v>
      </c>
      <c r="T81">
        <f t="shared" si="11"/>
        <v>-0.16021335212215343</v>
      </c>
    </row>
    <row r="82" spans="1:20" x14ac:dyDescent="0.25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 s="5">
        <f t="shared" si="6"/>
        <v>3.6986926873999995</v>
      </c>
      <c r="P82">
        <f t="shared" si="7"/>
        <v>0.97584217887053482</v>
      </c>
      <c r="Q82">
        <f t="shared" si="8"/>
        <v>1</v>
      </c>
      <c r="R82">
        <f t="shared" si="9"/>
        <v>0</v>
      </c>
      <c r="S82">
        <f t="shared" si="10"/>
        <v>0.97584217887053482</v>
      </c>
      <c r="T82">
        <f t="shared" si="11"/>
        <v>-2.4454407621129826E-2</v>
      </c>
    </row>
    <row r="83" spans="1:20" x14ac:dyDescent="0.25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 s="5">
        <f t="shared" si="6"/>
        <v>-0.66562175699999937</v>
      </c>
      <c r="P83">
        <f t="shared" si="7"/>
        <v>0.33947789478705803</v>
      </c>
      <c r="Q83">
        <f t="shared" si="8"/>
        <v>0</v>
      </c>
      <c r="R83">
        <f t="shared" si="9"/>
        <v>0</v>
      </c>
      <c r="S83">
        <f t="shared" si="10"/>
        <v>0.66052210521294197</v>
      </c>
      <c r="T83">
        <f t="shared" si="11"/>
        <v>-0.41472468818698144</v>
      </c>
    </row>
    <row r="84" spans="1:20" x14ac:dyDescent="0.25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 s="5">
        <f t="shared" si="6"/>
        <v>-2.2466152193999989</v>
      </c>
      <c r="P84">
        <f t="shared" si="7"/>
        <v>9.5641829274752496E-2</v>
      </c>
      <c r="Q84">
        <f t="shared" si="8"/>
        <v>0</v>
      </c>
      <c r="R84">
        <f t="shared" si="9"/>
        <v>0</v>
      </c>
      <c r="S84">
        <f t="shared" si="10"/>
        <v>0.90435817072524749</v>
      </c>
      <c r="T84">
        <f t="shared" si="11"/>
        <v>-0.10052979050457418</v>
      </c>
    </row>
    <row r="85" spans="1:20" x14ac:dyDescent="0.25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 s="5">
        <f t="shared" si="6"/>
        <v>2.6754611674</v>
      </c>
      <c r="P85">
        <f t="shared" si="7"/>
        <v>0.93556304114906075</v>
      </c>
      <c r="Q85">
        <f t="shared" si="8"/>
        <v>1</v>
      </c>
      <c r="R85">
        <f t="shared" si="9"/>
        <v>0</v>
      </c>
      <c r="S85">
        <f t="shared" si="10"/>
        <v>0.93556304114906075</v>
      </c>
      <c r="T85">
        <f t="shared" si="11"/>
        <v>-6.6606747885781484E-2</v>
      </c>
    </row>
    <row r="86" spans="1:20" x14ac:dyDescent="0.25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 s="5">
        <f t="shared" si="6"/>
        <v>0.41774615900000178</v>
      </c>
      <c r="P86">
        <f t="shared" si="7"/>
        <v>0.60294379991878055</v>
      </c>
      <c r="Q86">
        <f t="shared" si="8"/>
        <v>1</v>
      </c>
      <c r="R86">
        <f t="shared" si="9"/>
        <v>1</v>
      </c>
      <c r="S86">
        <f t="shared" si="10"/>
        <v>0.39705620008121945</v>
      </c>
      <c r="T86">
        <f t="shared" si="11"/>
        <v>-0.92367744639645999</v>
      </c>
    </row>
    <row r="87" spans="1:20" x14ac:dyDescent="0.25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 s="5">
        <f t="shared" si="6"/>
        <v>-1.5687453847999988</v>
      </c>
      <c r="P87">
        <f t="shared" si="7"/>
        <v>0.17239532060946794</v>
      </c>
      <c r="Q87">
        <f t="shared" si="8"/>
        <v>0</v>
      </c>
      <c r="R87">
        <f t="shared" si="9"/>
        <v>0</v>
      </c>
      <c r="S87">
        <f t="shared" si="10"/>
        <v>0.82760467939053206</v>
      </c>
      <c r="T87">
        <f t="shared" si="11"/>
        <v>-0.18921967895741043</v>
      </c>
    </row>
    <row r="88" spans="1:20" x14ac:dyDescent="0.25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 s="5">
        <f t="shared" si="6"/>
        <v>-1.583997322000001</v>
      </c>
      <c r="P88">
        <f t="shared" si="7"/>
        <v>0.17023010849956138</v>
      </c>
      <c r="Q88">
        <f t="shared" si="8"/>
        <v>0</v>
      </c>
      <c r="R88">
        <f t="shared" si="9"/>
        <v>0</v>
      </c>
      <c r="S88">
        <f t="shared" si="10"/>
        <v>0.82976989150043856</v>
      </c>
      <c r="T88">
        <f t="shared" si="11"/>
        <v>-0.1866068557854709</v>
      </c>
    </row>
    <row r="89" spans="1:20" x14ac:dyDescent="0.25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 s="5">
        <f t="shared" si="6"/>
        <v>1.6393813848000018</v>
      </c>
      <c r="P89">
        <f t="shared" si="7"/>
        <v>0.8374507447692392</v>
      </c>
      <c r="Q89">
        <f t="shared" si="8"/>
        <v>1</v>
      </c>
      <c r="R89">
        <f t="shared" si="9"/>
        <v>0</v>
      </c>
      <c r="S89">
        <f t="shared" si="10"/>
        <v>0.8374507447692392</v>
      </c>
      <c r="T89">
        <f t="shared" si="11"/>
        <v>-0.17739282922825553</v>
      </c>
    </row>
    <row r="90" spans="1:20" x14ac:dyDescent="0.25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 s="5">
        <f t="shared" si="6"/>
        <v>-3.039095400399999</v>
      </c>
      <c r="P90">
        <f t="shared" si="7"/>
        <v>4.5690597805084214E-2</v>
      </c>
      <c r="Q90">
        <f t="shared" si="8"/>
        <v>0</v>
      </c>
      <c r="R90">
        <f t="shared" si="9"/>
        <v>0</v>
      </c>
      <c r="S90">
        <f t="shared" si="10"/>
        <v>0.95430940219491578</v>
      </c>
      <c r="T90">
        <f t="shared" si="11"/>
        <v>-4.6767339155493172E-2</v>
      </c>
    </row>
    <row r="91" spans="1:20" x14ac:dyDescent="0.25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 s="5">
        <f t="shared" si="6"/>
        <v>-2.0430822280000003</v>
      </c>
      <c r="P91">
        <f t="shared" si="7"/>
        <v>0.1147532521054805</v>
      </c>
      <c r="Q91">
        <f t="shared" si="8"/>
        <v>0</v>
      </c>
      <c r="R91">
        <f t="shared" si="9"/>
        <v>0</v>
      </c>
      <c r="S91">
        <f t="shared" si="10"/>
        <v>0.88524674789451951</v>
      </c>
      <c r="T91">
        <f t="shared" si="11"/>
        <v>-0.12188886165457359</v>
      </c>
    </row>
    <row r="92" spans="1:20" x14ac:dyDescent="0.25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 s="5">
        <f t="shared" si="6"/>
        <v>-1.5278176480000001</v>
      </c>
      <c r="P92">
        <f t="shared" si="7"/>
        <v>0.17831321434302108</v>
      </c>
      <c r="Q92">
        <f t="shared" si="8"/>
        <v>0</v>
      </c>
      <c r="R92">
        <f t="shared" si="9"/>
        <v>0</v>
      </c>
      <c r="S92">
        <f t="shared" si="10"/>
        <v>0.82168678565697895</v>
      </c>
      <c r="T92">
        <f t="shared" si="11"/>
        <v>-0.19639599588663639</v>
      </c>
    </row>
    <row r="93" spans="1:20" x14ac:dyDescent="0.25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 s="5">
        <f t="shared" si="6"/>
        <v>-2.5465316079999987</v>
      </c>
      <c r="P93">
        <f t="shared" si="7"/>
        <v>7.2659840852010743E-2</v>
      </c>
      <c r="Q93">
        <f t="shared" si="8"/>
        <v>0</v>
      </c>
      <c r="R93">
        <f t="shared" si="9"/>
        <v>0</v>
      </c>
      <c r="S93">
        <f t="shared" si="10"/>
        <v>0.92734015914798928</v>
      </c>
      <c r="T93">
        <f t="shared" si="11"/>
        <v>-7.5434834502371054E-2</v>
      </c>
    </row>
    <row r="94" spans="1:20" x14ac:dyDescent="0.25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 s="5">
        <f t="shared" si="6"/>
        <v>-2.8255879509999993</v>
      </c>
      <c r="P94">
        <f t="shared" si="7"/>
        <v>5.5957011955357322E-2</v>
      </c>
      <c r="Q94">
        <f t="shared" si="8"/>
        <v>0</v>
      </c>
      <c r="R94">
        <f t="shared" si="9"/>
        <v>0</v>
      </c>
      <c r="S94">
        <f t="shared" si="10"/>
        <v>0.94404298804464271</v>
      </c>
      <c r="T94">
        <f t="shared" si="11"/>
        <v>-5.7583575690583713E-2</v>
      </c>
    </row>
    <row r="95" spans="1:20" x14ac:dyDescent="0.25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 s="5">
        <f t="shared" si="6"/>
        <v>-0.65663989879999907</v>
      </c>
      <c r="P95">
        <f t="shared" si="7"/>
        <v>0.3414948150964317</v>
      </c>
      <c r="Q95">
        <f t="shared" si="8"/>
        <v>0</v>
      </c>
      <c r="R95">
        <f t="shared" si="9"/>
        <v>0</v>
      </c>
      <c r="S95">
        <f t="shared" si="10"/>
        <v>0.65850518490356835</v>
      </c>
      <c r="T95">
        <f t="shared" si="11"/>
        <v>-0.41778288402028046</v>
      </c>
    </row>
    <row r="96" spans="1:20" x14ac:dyDescent="0.25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 s="5">
        <f t="shared" si="6"/>
        <v>5.6680605436000011</v>
      </c>
      <c r="P96">
        <f t="shared" si="7"/>
        <v>0.99655733414222891</v>
      </c>
      <c r="Q96">
        <f t="shared" si="8"/>
        <v>1</v>
      </c>
      <c r="R96">
        <f t="shared" si="9"/>
        <v>0</v>
      </c>
      <c r="S96">
        <f t="shared" si="10"/>
        <v>0.99655733414222891</v>
      </c>
      <c r="T96">
        <f t="shared" si="11"/>
        <v>-3.4486054678551986E-3</v>
      </c>
    </row>
    <row r="97" spans="1:20" x14ac:dyDescent="0.25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 s="5">
        <f t="shared" si="6"/>
        <v>3.8481166584000004</v>
      </c>
      <c r="P97">
        <f t="shared" si="7"/>
        <v>0.97912519649064289</v>
      </c>
      <c r="Q97">
        <f t="shared" si="8"/>
        <v>1</v>
      </c>
      <c r="R97">
        <f t="shared" si="9"/>
        <v>1</v>
      </c>
      <c r="S97">
        <f t="shared" si="10"/>
        <v>2.0874803509357109E-2</v>
      </c>
      <c r="T97">
        <f t="shared" si="11"/>
        <v>-3.8692124210149257</v>
      </c>
    </row>
    <row r="98" spans="1:20" x14ac:dyDescent="0.25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 s="5">
        <f t="shared" si="6"/>
        <v>-4.2627194272000004</v>
      </c>
      <c r="P98">
        <f t="shared" si="7"/>
        <v>1.388834722081787E-2</v>
      </c>
      <c r="Q98">
        <f t="shared" si="8"/>
        <v>0</v>
      </c>
      <c r="R98">
        <f t="shared" si="9"/>
        <v>0</v>
      </c>
      <c r="S98">
        <f t="shared" si="10"/>
        <v>0.98611165277918211</v>
      </c>
      <c r="T98">
        <f t="shared" si="11"/>
        <v>-1.398569267769199E-2</v>
      </c>
    </row>
    <row r="99" spans="1:20" x14ac:dyDescent="0.25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 s="5">
        <f t="shared" si="6"/>
        <v>-3.4942314719999987</v>
      </c>
      <c r="P99">
        <f t="shared" si="7"/>
        <v>2.9476809219353271E-2</v>
      </c>
      <c r="Q99">
        <f t="shared" si="8"/>
        <v>0</v>
      </c>
      <c r="R99">
        <f t="shared" si="9"/>
        <v>0</v>
      </c>
      <c r="S99">
        <f t="shared" si="10"/>
        <v>0.97052319078064675</v>
      </c>
      <c r="T99">
        <f t="shared" si="11"/>
        <v>-2.991998095465773E-2</v>
      </c>
    </row>
    <row r="100" spans="1:20" x14ac:dyDescent="0.25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 s="5">
        <f t="shared" si="6"/>
        <v>1.702820934</v>
      </c>
      <c r="P100">
        <f t="shared" si="7"/>
        <v>0.84590280609432511</v>
      </c>
      <c r="Q100">
        <f t="shared" si="8"/>
        <v>1</v>
      </c>
      <c r="R100">
        <f t="shared" si="9"/>
        <v>0</v>
      </c>
      <c r="S100">
        <f t="shared" si="10"/>
        <v>0.84590280609432511</v>
      </c>
      <c r="T100">
        <f t="shared" si="11"/>
        <v>-0.16735081238919056</v>
      </c>
    </row>
    <row r="101" spans="1:20" x14ac:dyDescent="0.25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 s="5">
        <f t="shared" si="6"/>
        <v>2.8407883196000014</v>
      </c>
      <c r="P101">
        <f t="shared" si="7"/>
        <v>0.94484056138146355</v>
      </c>
      <c r="Q101">
        <f t="shared" si="8"/>
        <v>1</v>
      </c>
      <c r="R101">
        <f t="shared" si="9"/>
        <v>0</v>
      </c>
      <c r="S101">
        <f t="shared" si="10"/>
        <v>0.94484056138146355</v>
      </c>
      <c r="T101">
        <f t="shared" si="11"/>
        <v>-5.6739083837749928E-2</v>
      </c>
    </row>
    <row r="102" spans="1:20" x14ac:dyDescent="0.25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 s="5">
        <f t="shared" si="6"/>
        <v>2.9491956528000003</v>
      </c>
      <c r="P102">
        <f t="shared" si="7"/>
        <v>0.95022545897684563</v>
      </c>
      <c r="Q102">
        <f t="shared" si="8"/>
        <v>1</v>
      </c>
      <c r="R102">
        <f t="shared" si="9"/>
        <v>0</v>
      </c>
      <c r="S102">
        <f t="shared" si="10"/>
        <v>0.95022545897684563</v>
      </c>
      <c r="T102">
        <f t="shared" si="11"/>
        <v>-5.1055997305945296E-2</v>
      </c>
    </row>
    <row r="103" spans="1:20" x14ac:dyDescent="0.25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 s="5">
        <f t="shared" si="6"/>
        <v>-1.6164630506000002</v>
      </c>
      <c r="P103">
        <f t="shared" si="7"/>
        <v>0.16569323652968596</v>
      </c>
      <c r="Q103">
        <f t="shared" si="8"/>
        <v>0</v>
      </c>
      <c r="R103">
        <f t="shared" si="9"/>
        <v>0</v>
      </c>
      <c r="S103">
        <f t="shared" si="10"/>
        <v>0.83430676347031407</v>
      </c>
      <c r="T103">
        <f t="shared" si="11"/>
        <v>-0.18115412234643313</v>
      </c>
    </row>
    <row r="104" spans="1:20" x14ac:dyDescent="0.25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 s="5">
        <f t="shared" si="6"/>
        <v>-2.145535240000001</v>
      </c>
      <c r="P104">
        <f t="shared" si="7"/>
        <v>0.10474917570634282</v>
      </c>
      <c r="Q104">
        <f t="shared" si="8"/>
        <v>0</v>
      </c>
      <c r="R104">
        <f t="shared" si="9"/>
        <v>0</v>
      </c>
      <c r="S104">
        <f t="shared" si="10"/>
        <v>0.89525082429365721</v>
      </c>
      <c r="T104">
        <f t="shared" si="11"/>
        <v>-0.11065134936270948</v>
      </c>
    </row>
    <row r="105" spans="1:20" x14ac:dyDescent="0.25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 s="5">
        <f t="shared" si="6"/>
        <v>-2.0608747949999993</v>
      </c>
      <c r="P105">
        <f t="shared" si="7"/>
        <v>0.11295814715187588</v>
      </c>
      <c r="Q105">
        <f t="shared" si="8"/>
        <v>0</v>
      </c>
      <c r="R105">
        <f t="shared" si="9"/>
        <v>0</v>
      </c>
      <c r="S105">
        <f t="shared" si="10"/>
        <v>0.88704185284812409</v>
      </c>
      <c r="T105">
        <f t="shared" si="11"/>
        <v>-0.11986311306404837</v>
      </c>
    </row>
    <row r="106" spans="1:20" x14ac:dyDescent="0.25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 s="5">
        <f t="shared" si="6"/>
        <v>-3.7230717800000002</v>
      </c>
      <c r="P106">
        <f t="shared" si="7"/>
        <v>2.3589721451609945E-2</v>
      </c>
      <c r="Q106">
        <f t="shared" si="8"/>
        <v>0</v>
      </c>
      <c r="R106">
        <f t="shared" si="9"/>
        <v>0</v>
      </c>
      <c r="S106">
        <f t="shared" si="10"/>
        <v>0.97641027854839002</v>
      </c>
      <c r="T106">
        <f t="shared" si="11"/>
        <v>-2.3872413533498643E-2</v>
      </c>
    </row>
    <row r="107" spans="1:20" x14ac:dyDescent="0.25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 s="5">
        <f t="shared" si="6"/>
        <v>-1.210544625999999</v>
      </c>
      <c r="P107">
        <f t="shared" si="7"/>
        <v>0.22960469984420576</v>
      </c>
      <c r="Q107">
        <f t="shared" si="8"/>
        <v>0</v>
      </c>
      <c r="R107">
        <f t="shared" si="9"/>
        <v>0</v>
      </c>
      <c r="S107">
        <f t="shared" si="10"/>
        <v>0.77039530015579427</v>
      </c>
      <c r="T107">
        <f t="shared" si="11"/>
        <v>-0.2608515190414995</v>
      </c>
    </row>
    <row r="108" spans="1:20" x14ac:dyDescent="0.25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 s="5">
        <f t="shared" si="6"/>
        <v>-3.030019317999999</v>
      </c>
      <c r="P108">
        <f t="shared" si="7"/>
        <v>4.6087977735675051E-2</v>
      </c>
      <c r="Q108">
        <f t="shared" si="8"/>
        <v>0</v>
      </c>
      <c r="R108">
        <f t="shared" si="9"/>
        <v>0</v>
      </c>
      <c r="S108">
        <f t="shared" si="10"/>
        <v>0.95391202226432492</v>
      </c>
      <c r="T108">
        <f t="shared" si="11"/>
        <v>-4.7183831635078236E-2</v>
      </c>
    </row>
    <row r="109" spans="1:20" x14ac:dyDescent="0.25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 s="5">
        <f t="shared" si="6"/>
        <v>3.7710711890000006</v>
      </c>
      <c r="P109">
        <f t="shared" si="7"/>
        <v>0.97749094133233794</v>
      </c>
      <c r="Q109">
        <f t="shared" si="8"/>
        <v>1</v>
      </c>
      <c r="R109">
        <f t="shared" si="9"/>
        <v>0</v>
      </c>
      <c r="S109">
        <f t="shared" si="10"/>
        <v>0.97749094133233794</v>
      </c>
      <c r="T109">
        <f t="shared" si="11"/>
        <v>-2.2766254344750714E-2</v>
      </c>
    </row>
    <row r="110" spans="1:20" x14ac:dyDescent="0.25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 s="5">
        <f t="shared" si="6"/>
        <v>-1.7789882099999996</v>
      </c>
      <c r="P110">
        <f t="shared" si="7"/>
        <v>0.14442811462487953</v>
      </c>
      <c r="Q110">
        <f t="shared" si="8"/>
        <v>0</v>
      </c>
      <c r="R110">
        <f t="shared" si="9"/>
        <v>0</v>
      </c>
      <c r="S110">
        <f t="shared" si="10"/>
        <v>0.85557188537512041</v>
      </c>
      <c r="T110">
        <f t="shared" si="11"/>
        <v>-0.1559851618566431</v>
      </c>
    </row>
    <row r="111" spans="1:20" x14ac:dyDescent="0.25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 s="5">
        <f t="shared" si="6"/>
        <v>1.4819235129999999</v>
      </c>
      <c r="P111">
        <f t="shared" si="7"/>
        <v>0.81486294019899019</v>
      </c>
      <c r="Q111">
        <f t="shared" si="8"/>
        <v>1</v>
      </c>
      <c r="R111">
        <f t="shared" si="9"/>
        <v>0</v>
      </c>
      <c r="S111">
        <f t="shared" si="10"/>
        <v>0.81486294019899019</v>
      </c>
      <c r="T111">
        <f t="shared" si="11"/>
        <v>-0.20473535141867388</v>
      </c>
    </row>
    <row r="112" spans="1:20" x14ac:dyDescent="0.25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 s="5">
        <f t="shared" si="6"/>
        <v>1.3867036272000011</v>
      </c>
      <c r="P112">
        <f t="shared" si="7"/>
        <v>0.80006547453295218</v>
      </c>
      <c r="Q112">
        <f t="shared" si="8"/>
        <v>1</v>
      </c>
      <c r="R112">
        <f t="shared" si="9"/>
        <v>0</v>
      </c>
      <c r="S112">
        <f t="shared" si="10"/>
        <v>0.80006547453295218</v>
      </c>
      <c r="T112">
        <f t="shared" si="11"/>
        <v>-0.22306171149698872</v>
      </c>
    </row>
    <row r="113" spans="1:20" x14ac:dyDescent="0.25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 s="5">
        <f t="shared" si="6"/>
        <v>3.3025675968000012</v>
      </c>
      <c r="P113">
        <f t="shared" si="7"/>
        <v>0.96451678943452879</v>
      </c>
      <c r="Q113">
        <f t="shared" si="8"/>
        <v>1</v>
      </c>
      <c r="R113">
        <f t="shared" si="9"/>
        <v>0</v>
      </c>
      <c r="S113">
        <f t="shared" si="10"/>
        <v>0.96451678943452879</v>
      </c>
      <c r="T113">
        <f t="shared" si="11"/>
        <v>-3.6128039390733474E-2</v>
      </c>
    </row>
    <row r="114" spans="1:20" x14ac:dyDescent="0.25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 s="5">
        <f t="shared" si="6"/>
        <v>0.57362245860000094</v>
      </c>
      <c r="P114">
        <f t="shared" si="7"/>
        <v>0.63959861770563853</v>
      </c>
      <c r="Q114">
        <f t="shared" si="8"/>
        <v>1</v>
      </c>
      <c r="R114">
        <f t="shared" si="9"/>
        <v>0</v>
      </c>
      <c r="S114">
        <f t="shared" si="10"/>
        <v>0.63959861770563853</v>
      </c>
      <c r="T114">
        <f t="shared" si="11"/>
        <v>-0.44691445921035411</v>
      </c>
    </row>
    <row r="115" spans="1:20" x14ac:dyDescent="0.25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 s="5">
        <f t="shared" si="6"/>
        <v>1.2817519490000002</v>
      </c>
      <c r="P115">
        <f t="shared" si="7"/>
        <v>0.78274784932875685</v>
      </c>
      <c r="Q115">
        <f t="shared" si="8"/>
        <v>1</v>
      </c>
      <c r="R115">
        <f t="shared" si="9"/>
        <v>0</v>
      </c>
      <c r="S115">
        <f t="shared" si="10"/>
        <v>0.78274784932875685</v>
      </c>
      <c r="T115">
        <f t="shared" si="11"/>
        <v>-0.24494466636322687</v>
      </c>
    </row>
    <row r="116" spans="1:20" x14ac:dyDescent="0.25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 s="5">
        <f t="shared" si="6"/>
        <v>0.85488250459999904</v>
      </c>
      <c r="P116">
        <f t="shared" si="7"/>
        <v>0.70159035520500646</v>
      </c>
      <c r="Q116">
        <f t="shared" si="8"/>
        <v>1</v>
      </c>
      <c r="R116">
        <f t="shared" si="9"/>
        <v>0</v>
      </c>
      <c r="S116">
        <f t="shared" si="10"/>
        <v>0.70159035520500646</v>
      </c>
      <c r="T116">
        <f t="shared" si="11"/>
        <v>-0.35440558487582707</v>
      </c>
    </row>
    <row r="117" spans="1:20" x14ac:dyDescent="0.25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 s="5">
        <f t="shared" si="6"/>
        <v>-2.6867482259999989</v>
      </c>
      <c r="P117">
        <f t="shared" si="7"/>
        <v>6.3759856338054144E-2</v>
      </c>
      <c r="Q117">
        <f t="shared" si="8"/>
        <v>0</v>
      </c>
      <c r="R117">
        <f t="shared" si="9"/>
        <v>0</v>
      </c>
      <c r="S117">
        <f t="shared" si="10"/>
        <v>0.93624014366194586</v>
      </c>
      <c r="T117">
        <f t="shared" si="11"/>
        <v>-6.5883271669998203E-2</v>
      </c>
    </row>
    <row r="118" spans="1:20" x14ac:dyDescent="0.25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 s="5">
        <f t="shared" si="6"/>
        <v>1.0733741500000011</v>
      </c>
      <c r="P118">
        <f t="shared" si="7"/>
        <v>0.74523805611243266</v>
      </c>
      <c r="Q118">
        <f t="shared" si="8"/>
        <v>1</v>
      </c>
      <c r="R118">
        <f t="shared" si="9"/>
        <v>0</v>
      </c>
      <c r="S118">
        <f t="shared" si="10"/>
        <v>0.74523805611243266</v>
      </c>
      <c r="T118">
        <f t="shared" si="11"/>
        <v>-0.29405157323815123</v>
      </c>
    </row>
    <row r="119" spans="1:20" x14ac:dyDescent="0.25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 s="5">
        <f t="shared" si="6"/>
        <v>1.0245118426000008</v>
      </c>
      <c r="P119">
        <f t="shared" si="7"/>
        <v>0.73585051948574254</v>
      </c>
      <c r="Q119">
        <f t="shared" si="8"/>
        <v>1</v>
      </c>
      <c r="R119">
        <f t="shared" si="9"/>
        <v>0</v>
      </c>
      <c r="S119">
        <f t="shared" si="10"/>
        <v>0.73585051948574254</v>
      </c>
      <c r="T119">
        <f t="shared" si="11"/>
        <v>-0.30672827940536551</v>
      </c>
    </row>
    <row r="120" spans="1:20" x14ac:dyDescent="0.25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 s="5">
        <f t="shared" si="6"/>
        <v>-0.75318656799999939</v>
      </c>
      <c r="P120">
        <f t="shared" si="7"/>
        <v>0.32012736041308992</v>
      </c>
      <c r="Q120">
        <f t="shared" si="8"/>
        <v>0</v>
      </c>
      <c r="R120">
        <f t="shared" si="9"/>
        <v>0</v>
      </c>
      <c r="S120">
        <f t="shared" si="10"/>
        <v>0.67987263958691013</v>
      </c>
      <c r="T120">
        <f t="shared" si="11"/>
        <v>-0.38584979307896422</v>
      </c>
    </row>
    <row r="121" spans="1:20" x14ac:dyDescent="0.25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 s="5">
        <f t="shared" si="6"/>
        <v>-3.0731952740000006</v>
      </c>
      <c r="P121">
        <f t="shared" si="7"/>
        <v>4.4226564646711722E-2</v>
      </c>
      <c r="Q121">
        <f t="shared" si="8"/>
        <v>0</v>
      </c>
      <c r="R121">
        <f t="shared" si="9"/>
        <v>0</v>
      </c>
      <c r="S121">
        <f t="shared" si="10"/>
        <v>0.95577343535328829</v>
      </c>
      <c r="T121">
        <f t="shared" si="11"/>
        <v>-4.5234386326126412E-2</v>
      </c>
    </row>
    <row r="122" spans="1:20" x14ac:dyDescent="0.25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 s="5">
        <f t="shared" si="6"/>
        <v>-3.1449892708</v>
      </c>
      <c r="P122">
        <f t="shared" si="7"/>
        <v>4.1289169516680393E-2</v>
      </c>
      <c r="Q122">
        <f t="shared" si="8"/>
        <v>0</v>
      </c>
      <c r="R122">
        <f t="shared" si="9"/>
        <v>0</v>
      </c>
      <c r="S122">
        <f t="shared" si="10"/>
        <v>0.95871083048331962</v>
      </c>
      <c r="T122">
        <f t="shared" si="11"/>
        <v>-4.2165781911448784E-2</v>
      </c>
    </row>
    <row r="123" spans="1:20" x14ac:dyDescent="0.25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 s="5">
        <f t="shared" si="6"/>
        <v>5.0181677663999995</v>
      </c>
      <c r="P123">
        <f t="shared" si="7"/>
        <v>0.9934268532999424</v>
      </c>
      <c r="Q123">
        <f t="shared" si="8"/>
        <v>1</v>
      </c>
      <c r="R123">
        <f t="shared" si="9"/>
        <v>0</v>
      </c>
      <c r="S123">
        <f t="shared" si="10"/>
        <v>0.9934268532999424</v>
      </c>
      <c r="T123">
        <f t="shared" si="11"/>
        <v>-6.5948449650137103E-3</v>
      </c>
    </row>
    <row r="124" spans="1:20" x14ac:dyDescent="0.25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 s="5">
        <f t="shared" si="6"/>
        <v>3.2115328113999997</v>
      </c>
      <c r="P124">
        <f t="shared" si="7"/>
        <v>0.96126597814496917</v>
      </c>
      <c r="Q124">
        <f t="shared" si="8"/>
        <v>1</v>
      </c>
      <c r="R124">
        <f t="shared" si="9"/>
        <v>0</v>
      </c>
      <c r="S124">
        <f t="shared" si="10"/>
        <v>0.96126597814496917</v>
      </c>
      <c r="T124">
        <f t="shared" si="11"/>
        <v>-3.9504136042986346E-2</v>
      </c>
    </row>
    <row r="125" spans="1:20" x14ac:dyDescent="0.25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 s="5">
        <f t="shared" si="6"/>
        <v>2.7759386790000011</v>
      </c>
      <c r="P125">
        <f t="shared" si="7"/>
        <v>0.9413616614515079</v>
      </c>
      <c r="Q125">
        <f t="shared" si="8"/>
        <v>1</v>
      </c>
      <c r="R125">
        <f t="shared" si="9"/>
        <v>0</v>
      </c>
      <c r="S125">
        <f t="shared" si="10"/>
        <v>0.9413616614515079</v>
      </c>
      <c r="T125">
        <f t="shared" si="11"/>
        <v>-6.042787587995882E-2</v>
      </c>
    </row>
    <row r="126" spans="1:20" x14ac:dyDescent="0.25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 s="5">
        <f t="shared" si="6"/>
        <v>5.3270956199999997</v>
      </c>
      <c r="P126">
        <f t="shared" si="7"/>
        <v>0.99516532812402592</v>
      </c>
      <c r="Q126">
        <f t="shared" si="8"/>
        <v>1</v>
      </c>
      <c r="R126">
        <f t="shared" si="9"/>
        <v>0</v>
      </c>
      <c r="S126">
        <f t="shared" si="10"/>
        <v>0.99516532812402592</v>
      </c>
      <c r="T126">
        <f t="shared" si="11"/>
        <v>-4.8463967077894306E-3</v>
      </c>
    </row>
    <row r="127" spans="1:20" x14ac:dyDescent="0.25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 s="5">
        <f t="shared" si="6"/>
        <v>-1.1016520724000003</v>
      </c>
      <c r="P127">
        <f t="shared" si="7"/>
        <v>0.24943047379794012</v>
      </c>
      <c r="Q127">
        <f t="shared" si="8"/>
        <v>0</v>
      </c>
      <c r="R127">
        <f t="shared" si="9"/>
        <v>0</v>
      </c>
      <c r="S127">
        <f t="shared" si="10"/>
        <v>0.75056952620205986</v>
      </c>
      <c r="T127">
        <f t="shared" si="11"/>
        <v>-0.28692299235657442</v>
      </c>
    </row>
    <row r="128" spans="1:20" x14ac:dyDescent="0.25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 s="5">
        <f t="shared" si="6"/>
        <v>4.0499563597999977</v>
      </c>
      <c r="P128">
        <f t="shared" si="7"/>
        <v>0.98287523216928097</v>
      </c>
      <c r="Q128">
        <f t="shared" si="8"/>
        <v>1</v>
      </c>
      <c r="R128">
        <f t="shared" si="9"/>
        <v>0</v>
      </c>
      <c r="S128">
        <f t="shared" si="10"/>
        <v>0.98287523216928097</v>
      </c>
      <c r="T128">
        <f t="shared" si="11"/>
        <v>-1.7273092456031366E-2</v>
      </c>
    </row>
    <row r="129" spans="1:20" x14ac:dyDescent="0.25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 s="5">
        <f t="shared" si="6"/>
        <v>-2.0194338998000001</v>
      </c>
      <c r="P129">
        <f t="shared" si="7"/>
        <v>0.11717753953266864</v>
      </c>
      <c r="Q129">
        <f t="shared" si="8"/>
        <v>0</v>
      </c>
      <c r="R129">
        <f t="shared" si="9"/>
        <v>1</v>
      </c>
      <c r="S129">
        <f t="shared" si="10"/>
        <v>0.11717753953266864</v>
      </c>
      <c r="T129">
        <f t="shared" si="11"/>
        <v>-2.1440650624176651</v>
      </c>
    </row>
    <row r="130" spans="1:20" x14ac:dyDescent="0.25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 s="5">
        <f t="shared" si="6"/>
        <v>-3.3689283351999997</v>
      </c>
      <c r="P130">
        <f t="shared" si="7"/>
        <v>3.3280770443527272E-2</v>
      </c>
      <c r="Q130">
        <f t="shared" si="8"/>
        <v>0</v>
      </c>
      <c r="R130">
        <f t="shared" si="9"/>
        <v>0</v>
      </c>
      <c r="S130">
        <f t="shared" si="10"/>
        <v>0.96671922955647271</v>
      </c>
      <c r="T130">
        <f t="shared" si="11"/>
        <v>-3.3847177750722365E-2</v>
      </c>
    </row>
    <row r="131" spans="1:20" x14ac:dyDescent="0.25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 s="5">
        <f t="shared" si="6"/>
        <v>5.6744252760000009</v>
      </c>
      <c r="P131">
        <f t="shared" si="7"/>
        <v>0.99657910148649254</v>
      </c>
      <c r="Q131">
        <f t="shared" si="8"/>
        <v>1</v>
      </c>
      <c r="R131">
        <f t="shared" si="9"/>
        <v>0</v>
      </c>
      <c r="S131">
        <f t="shared" si="10"/>
        <v>0.99657910148649254</v>
      </c>
      <c r="T131">
        <f t="shared" si="11"/>
        <v>-3.4267631655668235E-3</v>
      </c>
    </row>
    <row r="132" spans="1:20" x14ac:dyDescent="0.25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 s="5">
        <f t="shared" si="6"/>
        <v>3.1477235423999996</v>
      </c>
      <c r="P132">
        <f t="shared" si="7"/>
        <v>0.95881892926378254</v>
      </c>
      <c r="Q132">
        <f t="shared" si="8"/>
        <v>1</v>
      </c>
      <c r="R132">
        <f t="shared" si="9"/>
        <v>0</v>
      </c>
      <c r="S132">
        <f t="shared" si="10"/>
        <v>0.95881892926378254</v>
      </c>
      <c r="T132">
        <f t="shared" si="11"/>
        <v>-4.2053033955357935E-2</v>
      </c>
    </row>
    <row r="133" spans="1:20" x14ac:dyDescent="0.25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 s="5">
        <f t="shared" si="6"/>
        <v>-3.4584892500000004</v>
      </c>
      <c r="P133">
        <f t="shared" si="7"/>
        <v>3.0516697763617824E-2</v>
      </c>
      <c r="Q133">
        <f t="shared" si="8"/>
        <v>0</v>
      </c>
      <c r="R133">
        <f t="shared" si="9"/>
        <v>0</v>
      </c>
      <c r="S133">
        <f t="shared" si="10"/>
        <v>0.96948330223638213</v>
      </c>
      <c r="T133">
        <f t="shared" si="11"/>
        <v>-3.099202751491573E-2</v>
      </c>
    </row>
    <row r="134" spans="1:20" x14ac:dyDescent="0.25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 s="5">
        <f t="shared" si="6"/>
        <v>-3.6877820789999989</v>
      </c>
      <c r="P134">
        <f t="shared" si="7"/>
        <v>2.4416369971382197E-2</v>
      </c>
      <c r="Q134">
        <f t="shared" si="8"/>
        <v>0</v>
      </c>
      <c r="R134">
        <f t="shared" si="9"/>
        <v>0</v>
      </c>
      <c r="S134">
        <f t="shared" si="10"/>
        <v>0.97558363002861781</v>
      </c>
      <c r="T134">
        <f t="shared" si="11"/>
        <v>-2.4719392169607977E-2</v>
      </c>
    </row>
    <row r="135" spans="1:20" x14ac:dyDescent="0.25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 s="5">
        <f t="shared" ref="O135:O198" si="12">SUMPRODUCT(A$4:M$4, A135:M135)+N$4</f>
        <v>0.1759661892000004</v>
      </c>
      <c r="P135">
        <f t="shared" ref="P135:P198" si="13">1/(1+EXP(0-O135))</f>
        <v>0.54387838446408998</v>
      </c>
      <c r="Q135">
        <f t="shared" ref="Q135:Q198" si="14">IF(P135&lt;=0.5, 0, 1)</f>
        <v>1</v>
      </c>
      <c r="R135">
        <f t="shared" ref="R135:R198" si="15">IF(N135=Q135, 0, 1)</f>
        <v>1</v>
      </c>
      <c r="S135">
        <f t="shared" ref="S135:S198" si="16">IF(N135=1, P135, 1-P135)</f>
        <v>0.45612161553591002</v>
      </c>
      <c r="T135">
        <f t="shared" ref="T135:T198" si="17">IF(S135=0, -100000, LN(S135))</f>
        <v>-0.7849958042894255</v>
      </c>
    </row>
    <row r="136" spans="1:20" x14ac:dyDescent="0.25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 s="5">
        <f t="shared" si="12"/>
        <v>0.32832109300000134</v>
      </c>
      <c r="P136">
        <f t="shared" si="13"/>
        <v>0.58135081692077495</v>
      </c>
      <c r="Q136">
        <f t="shared" si="14"/>
        <v>1</v>
      </c>
      <c r="R136">
        <f t="shared" si="15"/>
        <v>1</v>
      </c>
      <c r="S136">
        <f t="shared" si="16"/>
        <v>0.41864918307922505</v>
      </c>
      <c r="T136">
        <f t="shared" si="17"/>
        <v>-0.87072198165516923</v>
      </c>
    </row>
    <row r="137" spans="1:20" x14ac:dyDescent="0.25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 s="5">
        <f t="shared" si="12"/>
        <v>-3.256507835999999</v>
      </c>
      <c r="P137">
        <f t="shared" si="13"/>
        <v>3.709374025705043E-2</v>
      </c>
      <c r="Q137">
        <f t="shared" si="14"/>
        <v>0</v>
      </c>
      <c r="R137">
        <f t="shared" si="15"/>
        <v>0</v>
      </c>
      <c r="S137">
        <f t="shared" si="16"/>
        <v>0.96290625974294952</v>
      </c>
      <c r="T137">
        <f t="shared" si="17"/>
        <v>-3.7799213829675354E-2</v>
      </c>
    </row>
    <row r="138" spans="1:20" x14ac:dyDescent="0.25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 s="5">
        <f t="shared" si="12"/>
        <v>-0.63427023600000076</v>
      </c>
      <c r="P138">
        <f t="shared" si="13"/>
        <v>0.34654290631813983</v>
      </c>
      <c r="Q138">
        <f t="shared" si="14"/>
        <v>0</v>
      </c>
      <c r="R138">
        <f t="shared" si="15"/>
        <v>0</v>
      </c>
      <c r="S138">
        <f t="shared" si="16"/>
        <v>0.65345709368186022</v>
      </c>
      <c r="T138">
        <f t="shared" si="17"/>
        <v>-0.42547840426022315</v>
      </c>
    </row>
    <row r="139" spans="1:20" x14ac:dyDescent="0.25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 s="5">
        <f t="shared" si="12"/>
        <v>-3.4445744443999997</v>
      </c>
      <c r="P139">
        <f t="shared" si="13"/>
        <v>3.09310735911663E-2</v>
      </c>
      <c r="Q139">
        <f t="shared" si="14"/>
        <v>0</v>
      </c>
      <c r="R139">
        <f t="shared" si="15"/>
        <v>0</v>
      </c>
      <c r="S139">
        <f t="shared" si="16"/>
        <v>0.96906892640883369</v>
      </c>
      <c r="T139">
        <f t="shared" si="17"/>
        <v>-3.141953813623044E-2</v>
      </c>
    </row>
    <row r="140" spans="1:20" x14ac:dyDescent="0.25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 s="5">
        <f t="shared" si="12"/>
        <v>-2.8231761227999996</v>
      </c>
      <c r="P140">
        <f t="shared" si="13"/>
        <v>5.608455530063066E-2</v>
      </c>
      <c r="Q140">
        <f t="shared" si="14"/>
        <v>0</v>
      </c>
      <c r="R140">
        <f t="shared" si="15"/>
        <v>0</v>
      </c>
      <c r="S140">
        <f t="shared" si="16"/>
        <v>0.94391544469936939</v>
      </c>
      <c r="T140">
        <f t="shared" si="17"/>
        <v>-5.7718688141425098E-2</v>
      </c>
    </row>
    <row r="141" spans="1:20" x14ac:dyDescent="0.25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 s="5">
        <f t="shared" si="12"/>
        <v>2.7115197078000008</v>
      </c>
      <c r="P141">
        <f t="shared" si="13"/>
        <v>0.93770298309455402</v>
      </c>
      <c r="Q141">
        <f t="shared" si="14"/>
        <v>1</v>
      </c>
      <c r="R141">
        <f t="shared" si="15"/>
        <v>0</v>
      </c>
      <c r="S141">
        <f t="shared" si="16"/>
        <v>0.93770298309455402</v>
      </c>
      <c r="T141">
        <f t="shared" si="17"/>
        <v>-6.4322029272768519E-2</v>
      </c>
    </row>
    <row r="142" spans="1:20" x14ac:dyDescent="0.25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 s="5">
        <f t="shared" si="12"/>
        <v>2.0259839102000008</v>
      </c>
      <c r="P142">
        <f t="shared" si="13"/>
        <v>0.88349834197253885</v>
      </c>
      <c r="Q142">
        <f t="shared" si="14"/>
        <v>1</v>
      </c>
      <c r="R142">
        <f t="shared" si="15"/>
        <v>0</v>
      </c>
      <c r="S142">
        <f t="shared" si="16"/>
        <v>0.88349834197253885</v>
      </c>
      <c r="T142">
        <f t="shared" si="17"/>
        <v>-0.12386586388228062</v>
      </c>
    </row>
    <row r="143" spans="1:20" x14ac:dyDescent="0.25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 s="5">
        <f t="shared" si="12"/>
        <v>1.8051586038000007</v>
      </c>
      <c r="P143">
        <f t="shared" si="13"/>
        <v>0.85877572911459554</v>
      </c>
      <c r="Q143">
        <f t="shared" si="14"/>
        <v>1</v>
      </c>
      <c r="R143">
        <f t="shared" si="15"/>
        <v>0</v>
      </c>
      <c r="S143">
        <f t="shared" si="16"/>
        <v>0.85877572911459554</v>
      </c>
      <c r="T143">
        <f t="shared" si="17"/>
        <v>-0.15224747477114808</v>
      </c>
    </row>
    <row r="144" spans="1:20" x14ac:dyDescent="0.25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 s="5">
        <f t="shared" si="12"/>
        <v>-2.0217975727999997</v>
      </c>
      <c r="P144">
        <f t="shared" si="13"/>
        <v>0.11693324590450127</v>
      </c>
      <c r="Q144">
        <f t="shared" si="14"/>
        <v>0</v>
      </c>
      <c r="R144">
        <f t="shared" si="15"/>
        <v>0</v>
      </c>
      <c r="S144">
        <f t="shared" si="16"/>
        <v>0.88306675409549873</v>
      </c>
      <c r="T144">
        <f t="shared" si="17"/>
        <v>-0.1243544820335024</v>
      </c>
    </row>
    <row r="145" spans="1:20" x14ac:dyDescent="0.25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 s="5">
        <f t="shared" si="12"/>
        <v>-2.1349022120000001</v>
      </c>
      <c r="P145">
        <f t="shared" si="13"/>
        <v>0.10575050576516631</v>
      </c>
      <c r="Q145">
        <f t="shared" si="14"/>
        <v>0</v>
      </c>
      <c r="R145">
        <f t="shared" si="15"/>
        <v>0</v>
      </c>
      <c r="S145">
        <f t="shared" si="16"/>
        <v>0.89424949423483369</v>
      </c>
      <c r="T145">
        <f t="shared" si="17"/>
        <v>-0.11177046641785962</v>
      </c>
    </row>
    <row r="146" spans="1:20" x14ac:dyDescent="0.25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 s="5">
        <f t="shared" si="12"/>
        <v>7.985903599999844E-3</v>
      </c>
      <c r="P146">
        <f t="shared" si="13"/>
        <v>0.50199646528968722</v>
      </c>
      <c r="Q146">
        <f t="shared" si="14"/>
        <v>1</v>
      </c>
      <c r="R146">
        <f t="shared" si="15"/>
        <v>0</v>
      </c>
      <c r="S146">
        <f t="shared" si="16"/>
        <v>0.50199646528968722</v>
      </c>
      <c r="T146">
        <f t="shared" si="17"/>
        <v>-0.6891622005708008</v>
      </c>
    </row>
    <row r="147" spans="1:20" x14ac:dyDescent="0.25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 s="5">
        <f t="shared" si="12"/>
        <v>-4.7655779429999985</v>
      </c>
      <c r="P147">
        <f t="shared" si="13"/>
        <v>8.4460210195977901E-3</v>
      </c>
      <c r="Q147">
        <f t="shared" si="14"/>
        <v>0</v>
      </c>
      <c r="R147">
        <f t="shared" si="15"/>
        <v>0</v>
      </c>
      <c r="S147">
        <f t="shared" si="16"/>
        <v>0.99155397898040221</v>
      </c>
      <c r="T147">
        <f t="shared" si="17"/>
        <v>-8.4818907690328727E-3</v>
      </c>
    </row>
    <row r="148" spans="1:20" x14ac:dyDescent="0.25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 s="5">
        <f t="shared" si="12"/>
        <v>1.5221326184000006</v>
      </c>
      <c r="P148">
        <f t="shared" si="13"/>
        <v>0.82085230484613037</v>
      </c>
      <c r="Q148">
        <f t="shared" si="14"/>
        <v>1</v>
      </c>
      <c r="R148">
        <f t="shared" si="15"/>
        <v>0</v>
      </c>
      <c r="S148">
        <f t="shared" si="16"/>
        <v>0.82085230484613037</v>
      </c>
      <c r="T148">
        <f t="shared" si="17"/>
        <v>-0.19741208236819263</v>
      </c>
    </row>
    <row r="149" spans="1:20" x14ac:dyDescent="0.25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 s="5">
        <f t="shared" si="12"/>
        <v>0.499684953800001</v>
      </c>
      <c r="P149">
        <f t="shared" si="13"/>
        <v>0.62238529131946785</v>
      </c>
      <c r="Q149">
        <f t="shared" si="14"/>
        <v>1</v>
      </c>
      <c r="R149">
        <f t="shared" si="15"/>
        <v>1</v>
      </c>
      <c r="S149">
        <f t="shared" si="16"/>
        <v>0.37761470868053215</v>
      </c>
      <c r="T149">
        <f t="shared" si="17"/>
        <v>-0.97388089239599951</v>
      </c>
    </row>
    <row r="150" spans="1:20" x14ac:dyDescent="0.25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 s="5">
        <f t="shared" si="12"/>
        <v>-2.7267430219999991</v>
      </c>
      <c r="P150">
        <f t="shared" si="13"/>
        <v>6.1413633581793199E-2</v>
      </c>
      <c r="Q150">
        <f t="shared" si="14"/>
        <v>0</v>
      </c>
      <c r="R150">
        <f t="shared" si="15"/>
        <v>1</v>
      </c>
      <c r="S150">
        <f t="shared" si="16"/>
        <v>6.1413633581793199E-2</v>
      </c>
      <c r="T150">
        <f t="shared" si="17"/>
        <v>-2.7901234231713725</v>
      </c>
    </row>
    <row r="151" spans="1:20" x14ac:dyDescent="0.25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 s="5">
        <f t="shared" si="12"/>
        <v>5.3511992710000005</v>
      </c>
      <c r="P151">
        <f t="shared" si="13"/>
        <v>0.99527992467609261</v>
      </c>
      <c r="Q151">
        <f t="shared" si="14"/>
        <v>1</v>
      </c>
      <c r="R151">
        <f t="shared" si="15"/>
        <v>0</v>
      </c>
      <c r="S151">
        <f t="shared" si="16"/>
        <v>0.99527992467609261</v>
      </c>
      <c r="T151">
        <f t="shared" si="17"/>
        <v>-4.7312500570266449E-3</v>
      </c>
    </row>
    <row r="152" spans="1:20" x14ac:dyDescent="0.25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 s="5">
        <f t="shared" si="12"/>
        <v>-3.0685603910000001</v>
      </c>
      <c r="P152">
        <f t="shared" si="13"/>
        <v>4.4422898213739279E-2</v>
      </c>
      <c r="Q152">
        <f t="shared" si="14"/>
        <v>0</v>
      </c>
      <c r="R152">
        <f t="shared" si="15"/>
        <v>0</v>
      </c>
      <c r="S152">
        <f t="shared" si="16"/>
        <v>0.95557710178626076</v>
      </c>
      <c r="T152">
        <f t="shared" si="17"/>
        <v>-4.5439825949997688E-2</v>
      </c>
    </row>
    <row r="153" spans="1:20" x14ac:dyDescent="0.25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 s="5">
        <f t="shared" si="12"/>
        <v>-2.350384555999999</v>
      </c>
      <c r="P153">
        <f t="shared" si="13"/>
        <v>8.7035210735590174E-2</v>
      </c>
      <c r="Q153">
        <f t="shared" si="14"/>
        <v>0</v>
      </c>
      <c r="R153">
        <f t="shared" si="15"/>
        <v>0</v>
      </c>
      <c r="S153">
        <f t="shared" si="16"/>
        <v>0.91296478926440983</v>
      </c>
      <c r="T153">
        <f t="shared" si="17"/>
        <v>-9.1057965106309674E-2</v>
      </c>
    </row>
    <row r="154" spans="1:20" x14ac:dyDescent="0.25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 s="5">
        <f t="shared" si="12"/>
        <v>-2.8901384149999991</v>
      </c>
      <c r="P154">
        <f t="shared" si="13"/>
        <v>5.2643214987852301E-2</v>
      </c>
      <c r="Q154">
        <f t="shared" si="14"/>
        <v>0</v>
      </c>
      <c r="R154">
        <f t="shared" si="15"/>
        <v>0</v>
      </c>
      <c r="S154">
        <f t="shared" si="16"/>
        <v>0.94735678501214771</v>
      </c>
      <c r="T154">
        <f t="shared" si="17"/>
        <v>-5.4079503832883555E-2</v>
      </c>
    </row>
    <row r="155" spans="1:20" x14ac:dyDescent="0.25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 s="5">
        <f t="shared" si="12"/>
        <v>-1.9332125264000002</v>
      </c>
      <c r="P155">
        <f t="shared" si="13"/>
        <v>0.12639542821210839</v>
      </c>
      <c r="Q155">
        <f t="shared" si="14"/>
        <v>0</v>
      </c>
      <c r="R155">
        <f t="shared" si="15"/>
        <v>0</v>
      </c>
      <c r="S155">
        <f t="shared" si="16"/>
        <v>0.87360457178789164</v>
      </c>
      <c r="T155">
        <f t="shared" si="17"/>
        <v>-0.13512744073150451</v>
      </c>
    </row>
    <row r="156" spans="1:20" x14ac:dyDescent="0.25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 s="5">
        <f t="shared" si="12"/>
        <v>-1.5978186881999994</v>
      </c>
      <c r="P156">
        <f t="shared" si="13"/>
        <v>0.1682867041101592</v>
      </c>
      <c r="Q156">
        <f t="shared" si="14"/>
        <v>0</v>
      </c>
      <c r="R156">
        <f t="shared" si="15"/>
        <v>0</v>
      </c>
      <c r="S156">
        <f t="shared" si="16"/>
        <v>0.83171329588984078</v>
      </c>
      <c r="T156">
        <f t="shared" si="17"/>
        <v>-0.18426749383412119</v>
      </c>
    </row>
    <row r="157" spans="1:20" x14ac:dyDescent="0.25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 s="5">
        <f t="shared" si="12"/>
        <v>0.11639410780000148</v>
      </c>
      <c r="P157">
        <f t="shared" si="13"/>
        <v>0.52906572015589903</v>
      </c>
      <c r="Q157">
        <f t="shared" si="14"/>
        <v>1</v>
      </c>
      <c r="R157">
        <f t="shared" si="15"/>
        <v>1</v>
      </c>
      <c r="S157">
        <f t="shared" si="16"/>
        <v>0.47093427984410097</v>
      </c>
      <c r="T157">
        <f t="shared" si="17"/>
        <v>-0.75303672794108811</v>
      </c>
    </row>
    <row r="158" spans="1:20" x14ac:dyDescent="0.25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 s="5">
        <f t="shared" si="12"/>
        <v>4.1884894374000012</v>
      </c>
      <c r="P158">
        <f t="shared" si="13"/>
        <v>0.98505748416230732</v>
      </c>
      <c r="Q158">
        <f t="shared" si="14"/>
        <v>1</v>
      </c>
      <c r="R158">
        <f t="shared" si="15"/>
        <v>0</v>
      </c>
      <c r="S158">
        <f t="shared" si="16"/>
        <v>0.98505748416230732</v>
      </c>
      <c r="T158">
        <f t="shared" si="17"/>
        <v>-1.5055279957258839E-2</v>
      </c>
    </row>
    <row r="159" spans="1:20" x14ac:dyDescent="0.25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 s="5">
        <f t="shared" si="12"/>
        <v>3.4376198785999996</v>
      </c>
      <c r="P159">
        <f t="shared" si="13"/>
        <v>0.96885978646589266</v>
      </c>
      <c r="Q159">
        <f t="shared" si="14"/>
        <v>1</v>
      </c>
      <c r="R159">
        <f t="shared" si="15"/>
        <v>0</v>
      </c>
      <c r="S159">
        <f t="shared" si="16"/>
        <v>0.96885978646589266</v>
      </c>
      <c r="T159">
        <f t="shared" si="17"/>
        <v>-3.163537677091656E-2</v>
      </c>
    </row>
    <row r="160" spans="1:20" x14ac:dyDescent="0.25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 s="5">
        <f t="shared" si="12"/>
        <v>4.7928955482000006</v>
      </c>
      <c r="P160">
        <f t="shared" si="13"/>
        <v>0.99177971016598077</v>
      </c>
      <c r="Q160">
        <f t="shared" si="14"/>
        <v>1</v>
      </c>
      <c r="R160">
        <f t="shared" si="15"/>
        <v>0</v>
      </c>
      <c r="S160">
        <f t="shared" si="16"/>
        <v>0.99177971016598077</v>
      </c>
      <c r="T160">
        <f t="shared" si="17"/>
        <v>-8.2542627225891171E-3</v>
      </c>
    </row>
    <row r="161" spans="1:20" x14ac:dyDescent="0.25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 s="5">
        <f t="shared" si="12"/>
        <v>1.1054464557999992</v>
      </c>
      <c r="P161">
        <f t="shared" si="13"/>
        <v>0.75127921576474577</v>
      </c>
      <c r="Q161">
        <f t="shared" si="14"/>
        <v>1</v>
      </c>
      <c r="R161">
        <f t="shared" si="15"/>
        <v>0</v>
      </c>
      <c r="S161">
        <f t="shared" si="16"/>
        <v>0.75127921576474577</v>
      </c>
      <c r="T161">
        <f t="shared" si="17"/>
        <v>-0.28597790435179898</v>
      </c>
    </row>
    <row r="162" spans="1:20" x14ac:dyDescent="0.25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 s="5">
        <f t="shared" si="12"/>
        <v>2.3957923170000015</v>
      </c>
      <c r="P162">
        <f t="shared" si="13"/>
        <v>0.91650588338571248</v>
      </c>
      <c r="Q162">
        <f t="shared" si="14"/>
        <v>1</v>
      </c>
      <c r="R162">
        <f t="shared" si="15"/>
        <v>0</v>
      </c>
      <c r="S162">
        <f t="shared" si="16"/>
        <v>0.91650588338571248</v>
      </c>
      <c r="T162">
        <f t="shared" si="17"/>
        <v>-8.7186792316857831E-2</v>
      </c>
    </row>
    <row r="163" spans="1:20" x14ac:dyDescent="0.25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 s="5">
        <f t="shared" si="12"/>
        <v>3.5807378365999991</v>
      </c>
      <c r="P163">
        <f t="shared" si="13"/>
        <v>0.97289974326399764</v>
      </c>
      <c r="Q163">
        <f t="shared" si="14"/>
        <v>1</v>
      </c>
      <c r="R163">
        <f t="shared" si="15"/>
        <v>0</v>
      </c>
      <c r="S163">
        <f t="shared" si="16"/>
        <v>0.97289974326399764</v>
      </c>
      <c r="T163">
        <f t="shared" si="17"/>
        <v>-2.7474240888139427E-2</v>
      </c>
    </row>
    <row r="164" spans="1:20" x14ac:dyDescent="0.25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 s="5">
        <f t="shared" si="12"/>
        <v>0.29770276600000045</v>
      </c>
      <c r="P164">
        <f t="shared" si="13"/>
        <v>0.57388084306058529</v>
      </c>
      <c r="Q164">
        <f t="shared" si="14"/>
        <v>1</v>
      </c>
      <c r="R164">
        <f t="shared" si="15"/>
        <v>1</v>
      </c>
      <c r="S164">
        <f t="shared" si="16"/>
        <v>0.42611915693941471</v>
      </c>
      <c r="T164">
        <f t="shared" si="17"/>
        <v>-0.85303626069924365</v>
      </c>
    </row>
    <row r="165" spans="1:20" x14ac:dyDescent="0.25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 s="5">
        <f t="shared" si="12"/>
        <v>-3.415451030999999</v>
      </c>
      <c r="P165">
        <f t="shared" si="13"/>
        <v>3.1816055845765641E-2</v>
      </c>
      <c r="Q165">
        <f t="shared" si="14"/>
        <v>0</v>
      </c>
      <c r="R165">
        <f t="shared" si="15"/>
        <v>0</v>
      </c>
      <c r="S165">
        <f t="shared" si="16"/>
        <v>0.96818394415423437</v>
      </c>
      <c r="T165">
        <f t="shared" si="17"/>
        <v>-3.2333184805293E-2</v>
      </c>
    </row>
    <row r="166" spans="1:20" x14ac:dyDescent="0.25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 s="5">
        <f t="shared" si="12"/>
        <v>3.1508000349999996</v>
      </c>
      <c r="P166">
        <f t="shared" si="13"/>
        <v>0.95894023383557203</v>
      </c>
      <c r="Q166">
        <f t="shared" si="14"/>
        <v>1</v>
      </c>
      <c r="R166">
        <f t="shared" si="15"/>
        <v>0</v>
      </c>
      <c r="S166">
        <f t="shared" si="16"/>
        <v>0.95894023383557203</v>
      </c>
      <c r="T166">
        <f t="shared" si="17"/>
        <v>-4.1926527380095134E-2</v>
      </c>
    </row>
    <row r="167" spans="1:20" x14ac:dyDescent="0.25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 s="5">
        <f t="shared" si="12"/>
        <v>-3.3928896161999997</v>
      </c>
      <c r="P167">
        <f t="shared" si="13"/>
        <v>3.2518422257311178E-2</v>
      </c>
      <c r="Q167">
        <f t="shared" si="14"/>
        <v>0</v>
      </c>
      <c r="R167">
        <f t="shared" si="15"/>
        <v>0</v>
      </c>
      <c r="S167">
        <f t="shared" si="16"/>
        <v>0.96748157774268884</v>
      </c>
      <c r="T167">
        <f t="shared" si="17"/>
        <v>-3.3058895352312163E-2</v>
      </c>
    </row>
    <row r="168" spans="1:20" x14ac:dyDescent="0.25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 s="5">
        <f t="shared" si="12"/>
        <v>-1.8584399709999992</v>
      </c>
      <c r="P168">
        <f t="shared" si="13"/>
        <v>0.13488498967486837</v>
      </c>
      <c r="Q168">
        <f t="shared" si="14"/>
        <v>0</v>
      </c>
      <c r="R168">
        <f t="shared" si="15"/>
        <v>0</v>
      </c>
      <c r="S168">
        <f t="shared" si="16"/>
        <v>0.86511501032513161</v>
      </c>
      <c r="T168">
        <f t="shared" si="17"/>
        <v>-0.14489282097519665</v>
      </c>
    </row>
    <row r="169" spans="1:20" x14ac:dyDescent="0.25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 s="5">
        <f t="shared" si="12"/>
        <v>-1.2580069719999996</v>
      </c>
      <c r="P169">
        <f t="shared" si="13"/>
        <v>0.22131717167799456</v>
      </c>
      <c r="Q169">
        <f t="shared" si="14"/>
        <v>0</v>
      </c>
      <c r="R169">
        <f t="shared" si="15"/>
        <v>0</v>
      </c>
      <c r="S169">
        <f t="shared" si="16"/>
        <v>0.77868282832200542</v>
      </c>
      <c r="T169">
        <f t="shared" si="17"/>
        <v>-0.25015146836700186</v>
      </c>
    </row>
    <row r="170" spans="1:20" x14ac:dyDescent="0.25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 s="5">
        <f t="shared" si="12"/>
        <v>7.6046231999999492E-2</v>
      </c>
      <c r="P170">
        <f t="shared" si="13"/>
        <v>0.51900240126209185</v>
      </c>
      <c r="Q170">
        <f t="shared" si="14"/>
        <v>1</v>
      </c>
      <c r="R170">
        <f t="shared" si="15"/>
        <v>1</v>
      </c>
      <c r="S170">
        <f t="shared" si="16"/>
        <v>0.48099759873790815</v>
      </c>
      <c r="T170">
        <f t="shared" si="17"/>
        <v>-0.73189300111771827</v>
      </c>
    </row>
    <row r="171" spans="1:20" x14ac:dyDescent="0.25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 s="5">
        <f t="shared" si="12"/>
        <v>-2.3944690869999992</v>
      </c>
      <c r="P171">
        <f t="shared" si="13"/>
        <v>8.3595429766155818E-2</v>
      </c>
      <c r="Q171">
        <f t="shared" si="14"/>
        <v>0</v>
      </c>
      <c r="R171">
        <f t="shared" si="15"/>
        <v>0</v>
      </c>
      <c r="S171">
        <f t="shared" si="16"/>
        <v>0.91640457023384414</v>
      </c>
      <c r="T171">
        <f t="shared" si="17"/>
        <v>-8.7297341254773966E-2</v>
      </c>
    </row>
    <row r="172" spans="1:20" x14ac:dyDescent="0.25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 s="5">
        <f t="shared" si="12"/>
        <v>1.3562357400000007</v>
      </c>
      <c r="P172">
        <f t="shared" si="13"/>
        <v>0.79514722568580698</v>
      </c>
      <c r="Q172">
        <f t="shared" si="14"/>
        <v>1</v>
      </c>
      <c r="R172">
        <f t="shared" si="15"/>
        <v>0</v>
      </c>
      <c r="S172">
        <f t="shared" si="16"/>
        <v>0.79514722568580698</v>
      </c>
      <c r="T172">
        <f t="shared" si="17"/>
        <v>-0.22922799193137605</v>
      </c>
    </row>
    <row r="173" spans="1:20" x14ac:dyDescent="0.25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 s="5">
        <f t="shared" si="12"/>
        <v>-4.0455696290000001</v>
      </c>
      <c r="P173">
        <f t="shared" si="13"/>
        <v>1.7198759748993799E-2</v>
      </c>
      <c r="Q173">
        <f t="shared" si="14"/>
        <v>0</v>
      </c>
      <c r="R173">
        <f t="shared" si="15"/>
        <v>0</v>
      </c>
      <c r="S173">
        <f t="shared" si="16"/>
        <v>0.98280124025100624</v>
      </c>
      <c r="T173">
        <f t="shared" si="17"/>
        <v>-1.7348376379248468E-2</v>
      </c>
    </row>
    <row r="174" spans="1:20" x14ac:dyDescent="0.25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 s="5">
        <f t="shared" si="12"/>
        <v>4.0113744071999999</v>
      </c>
      <c r="P174">
        <f t="shared" si="13"/>
        <v>0.98221359524022867</v>
      </c>
      <c r="Q174">
        <f t="shared" si="14"/>
        <v>1</v>
      </c>
      <c r="R174">
        <f t="shared" si="15"/>
        <v>0</v>
      </c>
      <c r="S174">
        <f t="shared" si="16"/>
        <v>0.98221359524022867</v>
      </c>
      <c r="T174">
        <f t="shared" si="17"/>
        <v>-1.7946483851703224E-2</v>
      </c>
    </row>
    <row r="175" spans="1:20" x14ac:dyDescent="0.25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 s="5">
        <f t="shared" si="12"/>
        <v>2.1361951770000012</v>
      </c>
      <c r="P175">
        <f t="shared" si="13"/>
        <v>0.89437170417716616</v>
      </c>
      <c r="Q175">
        <f t="shared" si="14"/>
        <v>1</v>
      </c>
      <c r="R175">
        <f t="shared" si="15"/>
        <v>1</v>
      </c>
      <c r="S175">
        <f t="shared" si="16"/>
        <v>0.10562829582283384</v>
      </c>
      <c r="T175">
        <f t="shared" si="17"/>
        <v>-2.2478289907351892</v>
      </c>
    </row>
    <row r="176" spans="1:20" x14ac:dyDescent="0.25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 s="5">
        <f t="shared" si="12"/>
        <v>-0.33381572999999953</v>
      </c>
      <c r="P176">
        <f t="shared" si="13"/>
        <v>0.41731248794856712</v>
      </c>
      <c r="Q176">
        <f t="shared" si="14"/>
        <v>0</v>
      </c>
      <c r="R176">
        <f t="shared" si="15"/>
        <v>1</v>
      </c>
      <c r="S176">
        <f t="shared" si="16"/>
        <v>0.41731248794856712</v>
      </c>
      <c r="T176">
        <f t="shared" si="17"/>
        <v>-0.87391996624272683</v>
      </c>
    </row>
    <row r="177" spans="1:20" x14ac:dyDescent="0.25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 s="5">
        <f t="shared" si="12"/>
        <v>-0.89771372439999997</v>
      </c>
      <c r="P177">
        <f t="shared" si="13"/>
        <v>0.28952055421181516</v>
      </c>
      <c r="Q177">
        <f t="shared" si="14"/>
        <v>0</v>
      </c>
      <c r="R177">
        <f t="shared" si="15"/>
        <v>0</v>
      </c>
      <c r="S177">
        <f t="shared" si="16"/>
        <v>0.71047944578818489</v>
      </c>
      <c r="T177">
        <f t="shared" si="17"/>
        <v>-0.34181526108485438</v>
      </c>
    </row>
    <row r="178" spans="1:20" x14ac:dyDescent="0.25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 s="5">
        <f t="shared" si="12"/>
        <v>3.8788863219999996</v>
      </c>
      <c r="P178">
        <f t="shared" si="13"/>
        <v>0.97974491397151831</v>
      </c>
      <c r="Q178">
        <f t="shared" si="14"/>
        <v>1</v>
      </c>
      <c r="R178">
        <f t="shared" si="15"/>
        <v>0</v>
      </c>
      <c r="S178">
        <f t="shared" si="16"/>
        <v>0.97974491397151831</v>
      </c>
      <c r="T178">
        <f t="shared" si="17"/>
        <v>-2.0463033065124363E-2</v>
      </c>
    </row>
    <row r="179" spans="1:20" x14ac:dyDescent="0.25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 s="5">
        <f t="shared" si="12"/>
        <v>4.6793714576000003</v>
      </c>
      <c r="P179">
        <f t="shared" si="13"/>
        <v>0.99080056735949784</v>
      </c>
      <c r="Q179">
        <f t="shared" si="14"/>
        <v>1</v>
      </c>
      <c r="R179">
        <f t="shared" si="15"/>
        <v>0</v>
      </c>
      <c r="S179">
        <f t="shared" si="16"/>
        <v>0.99080056735949784</v>
      </c>
      <c r="T179">
        <f t="shared" si="17"/>
        <v>-9.2420087394240839E-3</v>
      </c>
    </row>
    <row r="180" spans="1:20" x14ac:dyDescent="0.25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 s="5">
        <f t="shared" si="12"/>
        <v>2.0134485578000003</v>
      </c>
      <c r="P180">
        <f t="shared" si="13"/>
        <v>0.88220187490082591</v>
      </c>
      <c r="Q180">
        <f t="shared" si="14"/>
        <v>1</v>
      </c>
      <c r="R180">
        <f t="shared" si="15"/>
        <v>1</v>
      </c>
      <c r="S180">
        <f t="shared" si="16"/>
        <v>0.11779812509917409</v>
      </c>
      <c r="T180">
        <f t="shared" si="17"/>
        <v>-2.1387829238575753</v>
      </c>
    </row>
    <row r="181" spans="1:20" x14ac:dyDescent="0.25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 s="5">
        <f t="shared" si="12"/>
        <v>3.7807742548000007</v>
      </c>
      <c r="P181">
        <f t="shared" si="13"/>
        <v>0.97770344584900126</v>
      </c>
      <c r="Q181">
        <f t="shared" si="14"/>
        <v>1</v>
      </c>
      <c r="R181">
        <f t="shared" si="15"/>
        <v>0</v>
      </c>
      <c r="S181">
        <f t="shared" si="16"/>
        <v>0.97770344584900126</v>
      </c>
      <c r="T181">
        <f t="shared" si="17"/>
        <v>-2.2548880032617541E-2</v>
      </c>
    </row>
    <row r="182" spans="1:20" x14ac:dyDescent="0.25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 s="5">
        <f t="shared" si="12"/>
        <v>-0.25033011980000008</v>
      </c>
      <c r="P182">
        <f t="shared" si="13"/>
        <v>0.43774224704852827</v>
      </c>
      <c r="Q182">
        <f t="shared" si="14"/>
        <v>0</v>
      </c>
      <c r="R182">
        <f t="shared" si="15"/>
        <v>0</v>
      </c>
      <c r="S182">
        <f t="shared" si="16"/>
        <v>0.56225775295147173</v>
      </c>
      <c r="T182">
        <f t="shared" si="17"/>
        <v>-0.57579489908443027</v>
      </c>
    </row>
    <row r="183" spans="1:20" x14ac:dyDescent="0.25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 s="5">
        <f t="shared" si="12"/>
        <v>0.56985505300000128</v>
      </c>
      <c r="P183">
        <f t="shared" si="13"/>
        <v>0.63872972871237843</v>
      </c>
      <c r="Q183">
        <f t="shared" si="14"/>
        <v>1</v>
      </c>
      <c r="R183">
        <f t="shared" si="15"/>
        <v>1</v>
      </c>
      <c r="S183">
        <f t="shared" si="16"/>
        <v>0.36127027128762157</v>
      </c>
      <c r="T183">
        <f t="shared" si="17"/>
        <v>-1.0181289268388491</v>
      </c>
    </row>
    <row r="184" spans="1:20" x14ac:dyDescent="0.25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 s="5">
        <f t="shared" si="12"/>
        <v>0.64507397700000269</v>
      </c>
      <c r="P184">
        <f t="shared" si="13"/>
        <v>0.65589953766410136</v>
      </c>
      <c r="Q184">
        <f t="shared" si="14"/>
        <v>1</v>
      </c>
      <c r="R184">
        <f t="shared" si="15"/>
        <v>0</v>
      </c>
      <c r="S184">
        <f t="shared" si="16"/>
        <v>0.65589953766410136</v>
      </c>
      <c r="T184">
        <f t="shared" si="17"/>
        <v>-0.42174764557048139</v>
      </c>
    </row>
    <row r="185" spans="1:20" x14ac:dyDescent="0.25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 s="5">
        <f t="shared" si="12"/>
        <v>4.2730360962000002</v>
      </c>
      <c r="P185">
        <f t="shared" si="13"/>
        <v>0.98625223802806317</v>
      </c>
      <c r="Q185">
        <f t="shared" si="14"/>
        <v>1</v>
      </c>
      <c r="R185">
        <f t="shared" si="15"/>
        <v>0</v>
      </c>
      <c r="S185">
        <f t="shared" si="16"/>
        <v>0.98625223802806317</v>
      </c>
      <c r="T185">
        <f t="shared" si="17"/>
        <v>-1.3843137594652425E-2</v>
      </c>
    </row>
    <row r="186" spans="1:20" x14ac:dyDescent="0.25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 s="5">
        <f t="shared" si="12"/>
        <v>-0.15459777559999921</v>
      </c>
      <c r="P186">
        <f t="shared" si="13"/>
        <v>0.4614273508920641</v>
      </c>
      <c r="Q186">
        <f t="shared" si="14"/>
        <v>0</v>
      </c>
      <c r="R186">
        <f t="shared" si="15"/>
        <v>0</v>
      </c>
      <c r="S186">
        <f t="shared" si="16"/>
        <v>0.5385726491079359</v>
      </c>
      <c r="T186">
        <f t="shared" si="17"/>
        <v>-0.61883288134980496</v>
      </c>
    </row>
    <row r="187" spans="1:20" x14ac:dyDescent="0.25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 s="5">
        <f t="shared" si="12"/>
        <v>1.9592991525999999</v>
      </c>
      <c r="P187">
        <f t="shared" si="13"/>
        <v>0.87645708465384309</v>
      </c>
      <c r="Q187">
        <f t="shared" si="14"/>
        <v>1</v>
      </c>
      <c r="R187">
        <f t="shared" si="15"/>
        <v>1</v>
      </c>
      <c r="S187">
        <f t="shared" si="16"/>
        <v>0.12354291534615691</v>
      </c>
      <c r="T187">
        <f t="shared" si="17"/>
        <v>-2.0911666905942714</v>
      </c>
    </row>
    <row r="188" spans="1:20" x14ac:dyDescent="0.25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 s="5">
        <f t="shared" si="12"/>
        <v>-1.8307444950000002</v>
      </c>
      <c r="P188">
        <f t="shared" si="13"/>
        <v>0.13814960651954281</v>
      </c>
      <c r="Q188">
        <f t="shared" si="14"/>
        <v>0</v>
      </c>
      <c r="R188">
        <f t="shared" si="15"/>
        <v>1</v>
      </c>
      <c r="S188">
        <f t="shared" si="16"/>
        <v>0.13814960651954281</v>
      </c>
      <c r="T188">
        <f t="shared" si="17"/>
        <v>-1.9794180758285462</v>
      </c>
    </row>
    <row r="189" spans="1:20" x14ac:dyDescent="0.25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 s="5">
        <f t="shared" si="12"/>
        <v>-2.3341759329999991</v>
      </c>
      <c r="P189">
        <f t="shared" si="13"/>
        <v>8.8331799710976502E-2</v>
      </c>
      <c r="Q189">
        <f t="shared" si="14"/>
        <v>0</v>
      </c>
      <c r="R189">
        <f t="shared" si="15"/>
        <v>0</v>
      </c>
      <c r="S189">
        <f t="shared" si="16"/>
        <v>0.91166820028902351</v>
      </c>
      <c r="T189">
        <f t="shared" si="17"/>
        <v>-9.2479170577272771E-2</v>
      </c>
    </row>
    <row r="190" spans="1:20" x14ac:dyDescent="0.25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 s="5">
        <f t="shared" si="12"/>
        <v>-1.5584838786000006</v>
      </c>
      <c r="P190">
        <f t="shared" si="13"/>
        <v>0.17386430822361307</v>
      </c>
      <c r="Q190">
        <f t="shared" si="14"/>
        <v>0</v>
      </c>
      <c r="R190">
        <f t="shared" si="15"/>
        <v>0</v>
      </c>
      <c r="S190">
        <f t="shared" si="16"/>
        <v>0.8261356917763869</v>
      </c>
      <c r="T190">
        <f t="shared" si="17"/>
        <v>-0.19099624319460615</v>
      </c>
    </row>
    <row r="191" spans="1:20" x14ac:dyDescent="0.25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 s="5">
        <f t="shared" si="12"/>
        <v>4.6859807090000025</v>
      </c>
      <c r="P191">
        <f t="shared" si="13"/>
        <v>0.99086061438393114</v>
      </c>
      <c r="Q191">
        <f t="shared" si="14"/>
        <v>1</v>
      </c>
      <c r="R191">
        <f t="shared" si="15"/>
        <v>0</v>
      </c>
      <c r="S191">
        <f t="shared" si="16"/>
        <v>0.99086061438393114</v>
      </c>
      <c r="T191">
        <f t="shared" si="17"/>
        <v>-9.181406023879294E-3</v>
      </c>
    </row>
    <row r="192" spans="1:20" x14ac:dyDescent="0.25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 s="5">
        <f t="shared" si="12"/>
        <v>1.0630132879999987</v>
      </c>
      <c r="P192">
        <f t="shared" si="13"/>
        <v>0.74326596731490557</v>
      </c>
      <c r="Q192">
        <f t="shared" si="14"/>
        <v>1</v>
      </c>
      <c r="R192">
        <f t="shared" si="15"/>
        <v>0</v>
      </c>
      <c r="S192">
        <f t="shared" si="16"/>
        <v>0.74326596731490557</v>
      </c>
      <c r="T192">
        <f t="shared" si="17"/>
        <v>-0.29670133423357103</v>
      </c>
    </row>
    <row r="193" spans="1:20" x14ac:dyDescent="0.25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 s="5">
        <f t="shared" si="12"/>
        <v>4.6441200400000007</v>
      </c>
      <c r="P193">
        <f t="shared" si="13"/>
        <v>0.99047363509357589</v>
      </c>
      <c r="Q193">
        <f t="shared" si="14"/>
        <v>1</v>
      </c>
      <c r="R193">
        <f t="shared" si="15"/>
        <v>0</v>
      </c>
      <c r="S193">
        <f t="shared" si="16"/>
        <v>0.99047363509357589</v>
      </c>
      <c r="T193">
        <f t="shared" si="17"/>
        <v>-9.5720309730800597E-3</v>
      </c>
    </row>
    <row r="194" spans="1:20" x14ac:dyDescent="0.25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 s="5">
        <f t="shared" si="12"/>
        <v>-2.726376930999999</v>
      </c>
      <c r="P194">
        <f t="shared" si="13"/>
        <v>6.1434739187452965E-2</v>
      </c>
      <c r="Q194">
        <f t="shared" si="14"/>
        <v>0</v>
      </c>
      <c r="R194">
        <f t="shared" si="15"/>
        <v>0</v>
      </c>
      <c r="S194">
        <f t="shared" si="16"/>
        <v>0.93856526081254699</v>
      </c>
      <c r="T194">
        <f t="shared" si="17"/>
        <v>-6.3402888012984465E-2</v>
      </c>
    </row>
    <row r="195" spans="1:20" x14ac:dyDescent="0.25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 s="5">
        <f t="shared" si="12"/>
        <v>7.1707156576000006</v>
      </c>
      <c r="P195">
        <f t="shared" si="13"/>
        <v>0.9992318182004013</v>
      </c>
      <c r="Q195">
        <f t="shared" si="14"/>
        <v>1</v>
      </c>
      <c r="R195">
        <f t="shared" si="15"/>
        <v>0</v>
      </c>
      <c r="S195">
        <f t="shared" si="16"/>
        <v>0.9992318182004013</v>
      </c>
      <c r="T195">
        <f t="shared" si="17"/>
        <v>-7.6847700242662503E-4</v>
      </c>
    </row>
    <row r="196" spans="1:20" x14ac:dyDescent="0.25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 s="5">
        <f t="shared" si="12"/>
        <v>2.072600072200002</v>
      </c>
      <c r="P196">
        <f t="shared" si="13"/>
        <v>0.88821138830336999</v>
      </c>
      <c r="Q196">
        <f t="shared" si="14"/>
        <v>1</v>
      </c>
      <c r="R196">
        <f t="shared" si="15"/>
        <v>0</v>
      </c>
      <c r="S196">
        <f t="shared" si="16"/>
        <v>0.88821138830336999</v>
      </c>
      <c r="T196">
        <f t="shared" si="17"/>
        <v>-0.11854551442816413</v>
      </c>
    </row>
    <row r="197" spans="1:20" x14ac:dyDescent="0.25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 s="5">
        <f t="shared" si="12"/>
        <v>-2.0115578959999993</v>
      </c>
      <c r="P197">
        <f t="shared" si="13"/>
        <v>0.11799474796222521</v>
      </c>
      <c r="Q197">
        <f t="shared" si="14"/>
        <v>0</v>
      </c>
      <c r="R197">
        <f t="shared" si="15"/>
        <v>0</v>
      </c>
      <c r="S197">
        <f t="shared" si="16"/>
        <v>0.8820052520377748</v>
      </c>
      <c r="T197">
        <f t="shared" si="17"/>
        <v>-0.1255572683017202</v>
      </c>
    </row>
    <row r="198" spans="1:20" x14ac:dyDescent="0.25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 s="5">
        <f t="shared" si="12"/>
        <v>2.9558363832000012</v>
      </c>
      <c r="P198">
        <f t="shared" si="13"/>
        <v>0.95053860842908688</v>
      </c>
      <c r="Q198">
        <f t="shared" si="14"/>
        <v>1</v>
      </c>
      <c r="R198">
        <f t="shared" si="15"/>
        <v>0</v>
      </c>
      <c r="S198">
        <f t="shared" si="16"/>
        <v>0.95053860842908688</v>
      </c>
      <c r="T198">
        <f t="shared" si="17"/>
        <v>-5.0726498805374595E-2</v>
      </c>
    </row>
    <row r="199" spans="1:20" x14ac:dyDescent="0.25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 s="5">
        <f t="shared" ref="O199:O262" si="18">SUMPRODUCT(A$4:M$4, A199:M199)+N$4</f>
        <v>-1.2199291291999996</v>
      </c>
      <c r="P199">
        <f t="shared" ref="P199:P262" si="19">1/(1+EXP(0-O199))</f>
        <v>0.22794892275807191</v>
      </c>
      <c r="Q199">
        <f t="shared" ref="Q199:Q262" si="20">IF(P199&lt;=0.5, 0, 1)</f>
        <v>0</v>
      </c>
      <c r="R199">
        <f t="shared" ref="R199:R262" si="21">IF(N199=Q199, 0, 1)</f>
        <v>0</v>
      </c>
      <c r="S199">
        <f t="shared" ref="S199:S262" si="22">IF(N199=1, P199, 1-P199)</f>
        <v>0.77205107724192812</v>
      </c>
      <c r="T199">
        <f t="shared" ref="T199:T262" si="23">IF(S199=0, -100000, LN(S199))</f>
        <v>-0.25870456891550786</v>
      </c>
    </row>
    <row r="200" spans="1:20" x14ac:dyDescent="0.25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 s="5">
        <f t="shared" si="18"/>
        <v>-0.71231456539999982</v>
      </c>
      <c r="P200">
        <f t="shared" si="19"/>
        <v>0.32908760770797058</v>
      </c>
      <c r="Q200">
        <f t="shared" si="20"/>
        <v>0</v>
      </c>
      <c r="R200">
        <f t="shared" si="21"/>
        <v>0</v>
      </c>
      <c r="S200">
        <f t="shared" si="22"/>
        <v>0.67091239229202948</v>
      </c>
      <c r="T200">
        <f t="shared" si="23"/>
        <v>-0.39911671343761879</v>
      </c>
    </row>
    <row r="201" spans="1:20" x14ac:dyDescent="0.25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 s="5">
        <f t="shared" si="18"/>
        <v>-4.2982404411999999</v>
      </c>
      <c r="P201">
        <f t="shared" si="19"/>
        <v>1.3410177476435402E-2</v>
      </c>
      <c r="Q201">
        <f t="shared" si="20"/>
        <v>0</v>
      </c>
      <c r="R201">
        <f t="shared" si="21"/>
        <v>0</v>
      </c>
      <c r="S201">
        <f t="shared" si="22"/>
        <v>0.98658982252356464</v>
      </c>
      <c r="T201">
        <f t="shared" si="23"/>
        <v>-1.3500905942614373E-2</v>
      </c>
    </row>
    <row r="202" spans="1:20" x14ac:dyDescent="0.25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 s="5">
        <f t="shared" si="18"/>
        <v>-1.6000809289999998</v>
      </c>
      <c r="P202">
        <f t="shared" si="19"/>
        <v>0.16797030422608034</v>
      </c>
      <c r="Q202">
        <f t="shared" si="20"/>
        <v>0</v>
      </c>
      <c r="R202">
        <f t="shared" si="21"/>
        <v>1</v>
      </c>
      <c r="S202">
        <f t="shared" si="22"/>
        <v>0.16797030422608034</v>
      </c>
      <c r="T202">
        <f t="shared" si="23"/>
        <v>-1.7839680757619125</v>
      </c>
    </row>
    <row r="203" spans="1:20" x14ac:dyDescent="0.25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 s="5">
        <f t="shared" si="18"/>
        <v>-3.0567273509999993</v>
      </c>
      <c r="P203">
        <f t="shared" si="19"/>
        <v>4.4927921514587708E-2</v>
      </c>
      <c r="Q203">
        <f t="shared" si="20"/>
        <v>0</v>
      </c>
      <c r="R203">
        <f t="shared" si="21"/>
        <v>0</v>
      </c>
      <c r="S203">
        <f t="shared" si="22"/>
        <v>0.95507207848541231</v>
      </c>
      <c r="T203">
        <f t="shared" si="23"/>
        <v>-4.5968466495655398E-2</v>
      </c>
    </row>
    <row r="204" spans="1:20" x14ac:dyDescent="0.25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 s="5">
        <f t="shared" si="18"/>
        <v>-0.67803300399999955</v>
      </c>
      <c r="P204">
        <f t="shared" si="19"/>
        <v>0.33670045702109669</v>
      </c>
      <c r="Q204">
        <f t="shared" si="20"/>
        <v>0</v>
      </c>
      <c r="R204">
        <f t="shared" si="21"/>
        <v>0</v>
      </c>
      <c r="S204">
        <f t="shared" si="22"/>
        <v>0.66329954297890326</v>
      </c>
      <c r="T204">
        <f t="shared" si="23"/>
        <v>-0.41052859146201554</v>
      </c>
    </row>
    <row r="205" spans="1:20" x14ac:dyDescent="0.25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 s="5">
        <f t="shared" si="18"/>
        <v>-1.2058768133999989</v>
      </c>
      <c r="P205">
        <f t="shared" si="19"/>
        <v>0.23043141426558794</v>
      </c>
      <c r="Q205">
        <f t="shared" si="20"/>
        <v>0</v>
      </c>
      <c r="R205">
        <f t="shared" si="21"/>
        <v>0</v>
      </c>
      <c r="S205">
        <f t="shared" si="22"/>
        <v>0.76956858573441211</v>
      </c>
      <c r="T205">
        <f t="shared" si="23"/>
        <v>-0.26192519941592363</v>
      </c>
    </row>
    <row r="206" spans="1:20" x14ac:dyDescent="0.25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 s="5">
        <f t="shared" si="18"/>
        <v>-1.3426337673999988</v>
      </c>
      <c r="P206">
        <f t="shared" si="19"/>
        <v>0.20707727012320784</v>
      </c>
      <c r="Q206">
        <f t="shared" si="20"/>
        <v>0</v>
      </c>
      <c r="R206">
        <f t="shared" si="21"/>
        <v>0</v>
      </c>
      <c r="S206">
        <f t="shared" si="22"/>
        <v>0.79292272987679213</v>
      </c>
      <c r="T206">
        <f t="shared" si="23"/>
        <v>-0.23202950235115127</v>
      </c>
    </row>
    <row r="207" spans="1:20" x14ac:dyDescent="0.25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 s="5">
        <f t="shared" si="18"/>
        <v>-1.0161820749999997</v>
      </c>
      <c r="P207">
        <f t="shared" si="19"/>
        <v>0.26577175290079746</v>
      </c>
      <c r="Q207">
        <f t="shared" si="20"/>
        <v>0</v>
      </c>
      <c r="R207">
        <f t="shared" si="21"/>
        <v>0</v>
      </c>
      <c r="S207">
        <f t="shared" si="22"/>
        <v>0.73422824709920254</v>
      </c>
      <c r="T207">
        <f t="shared" si="23"/>
        <v>-0.30893533535629109</v>
      </c>
    </row>
    <row r="208" spans="1:20" x14ac:dyDescent="0.25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 s="5">
        <f t="shared" si="18"/>
        <v>6.2934046190000004</v>
      </c>
      <c r="P208">
        <f t="shared" si="19"/>
        <v>0.99815495455183467</v>
      </c>
      <c r="Q208">
        <f t="shared" si="20"/>
        <v>1</v>
      </c>
      <c r="R208">
        <f t="shared" si="21"/>
        <v>0</v>
      </c>
      <c r="S208">
        <f t="shared" si="22"/>
        <v>0.99815495455183467</v>
      </c>
      <c r="T208">
        <f t="shared" si="23"/>
        <v>-1.8467496410497258E-3</v>
      </c>
    </row>
    <row r="209" spans="1:20" x14ac:dyDescent="0.25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 s="5">
        <f t="shared" si="18"/>
        <v>5.3486441970000005</v>
      </c>
      <c r="P209">
        <f t="shared" si="19"/>
        <v>0.99526790625663841</v>
      </c>
      <c r="Q209">
        <f t="shared" si="20"/>
        <v>1</v>
      </c>
      <c r="R209">
        <f t="shared" si="21"/>
        <v>0</v>
      </c>
      <c r="S209">
        <f t="shared" si="22"/>
        <v>0.99526790625663841</v>
      </c>
      <c r="T209">
        <f t="shared" si="23"/>
        <v>-4.7433255462639079E-3</v>
      </c>
    </row>
    <row r="210" spans="1:20" x14ac:dyDescent="0.25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 s="5">
        <f t="shared" si="18"/>
        <v>2.5796089302000009</v>
      </c>
      <c r="P210">
        <f t="shared" si="19"/>
        <v>0.92953765935461108</v>
      </c>
      <c r="Q210">
        <f t="shared" si="20"/>
        <v>1</v>
      </c>
      <c r="R210">
        <f t="shared" si="21"/>
        <v>0</v>
      </c>
      <c r="S210">
        <f t="shared" si="22"/>
        <v>0.92953765935461108</v>
      </c>
      <c r="T210">
        <f t="shared" si="23"/>
        <v>-7.3067956929047273E-2</v>
      </c>
    </row>
    <row r="211" spans="1:20" x14ac:dyDescent="0.25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 s="5">
        <f t="shared" si="18"/>
        <v>-2.8540358870000002</v>
      </c>
      <c r="P211">
        <f t="shared" si="19"/>
        <v>5.4473071641501933E-2</v>
      </c>
      <c r="Q211">
        <f t="shared" si="20"/>
        <v>0</v>
      </c>
      <c r="R211">
        <f t="shared" si="21"/>
        <v>0</v>
      </c>
      <c r="S211">
        <f t="shared" si="22"/>
        <v>0.94552692835849805</v>
      </c>
      <c r="T211">
        <f t="shared" si="23"/>
        <v>-5.6012910740802946E-2</v>
      </c>
    </row>
    <row r="212" spans="1:20" x14ac:dyDescent="0.25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 s="5">
        <f t="shared" si="18"/>
        <v>-0.85930831579999989</v>
      </c>
      <c r="P212">
        <f t="shared" si="19"/>
        <v>0.29748387856220276</v>
      </c>
      <c r="Q212">
        <f t="shared" si="20"/>
        <v>0</v>
      </c>
      <c r="R212">
        <f t="shared" si="21"/>
        <v>1</v>
      </c>
      <c r="S212">
        <f t="shared" si="22"/>
        <v>0.29748387856220276</v>
      </c>
      <c r="T212">
        <f t="shared" si="23"/>
        <v>-1.2123952451716493</v>
      </c>
    </row>
    <row r="213" spans="1:20" x14ac:dyDescent="0.25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 s="5">
        <f t="shared" si="18"/>
        <v>-4.12054645</v>
      </c>
      <c r="P213">
        <f t="shared" si="19"/>
        <v>1.5976255321186131E-2</v>
      </c>
      <c r="Q213">
        <f t="shared" si="20"/>
        <v>0</v>
      </c>
      <c r="R213">
        <f t="shared" si="21"/>
        <v>0</v>
      </c>
      <c r="S213">
        <f t="shared" si="22"/>
        <v>0.98402374467881382</v>
      </c>
      <c r="T213">
        <f t="shared" si="23"/>
        <v>-1.610525144987375E-2</v>
      </c>
    </row>
    <row r="214" spans="1:20" x14ac:dyDescent="0.25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 s="5">
        <f t="shared" si="18"/>
        <v>-0.33049382859999987</v>
      </c>
      <c r="P214">
        <f t="shared" si="19"/>
        <v>0.41812047190626339</v>
      </c>
      <c r="Q214">
        <f t="shared" si="20"/>
        <v>0</v>
      </c>
      <c r="R214">
        <f t="shared" si="21"/>
        <v>1</v>
      </c>
      <c r="S214">
        <f t="shared" si="22"/>
        <v>0.41812047190626339</v>
      </c>
      <c r="T214">
        <f t="shared" si="23"/>
        <v>-0.87198567767992596</v>
      </c>
    </row>
    <row r="215" spans="1:20" x14ac:dyDescent="0.25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 s="5">
        <f t="shared" si="18"/>
        <v>-1.0331772309999989</v>
      </c>
      <c r="P215">
        <f t="shared" si="19"/>
        <v>0.26246859549923179</v>
      </c>
      <c r="Q215">
        <f t="shared" si="20"/>
        <v>0</v>
      </c>
      <c r="R215">
        <f t="shared" si="21"/>
        <v>0</v>
      </c>
      <c r="S215">
        <f t="shared" si="22"/>
        <v>0.73753140450076815</v>
      </c>
      <c r="T215">
        <f t="shared" si="23"/>
        <v>-0.30444660930084277</v>
      </c>
    </row>
    <row r="216" spans="1:20" x14ac:dyDescent="0.25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 s="5">
        <f t="shared" si="18"/>
        <v>2.240367547</v>
      </c>
      <c r="P216">
        <f t="shared" si="19"/>
        <v>0.90381641473921159</v>
      </c>
      <c r="Q216">
        <f t="shared" si="20"/>
        <v>1</v>
      </c>
      <c r="R216">
        <f t="shared" si="21"/>
        <v>0</v>
      </c>
      <c r="S216">
        <f t="shared" si="22"/>
        <v>0.90381641473921159</v>
      </c>
      <c r="T216">
        <f t="shared" si="23"/>
        <v>-0.10112902025440249</v>
      </c>
    </row>
    <row r="217" spans="1:20" x14ac:dyDescent="0.25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 s="5">
        <f t="shared" si="18"/>
        <v>-1.0879802689999991</v>
      </c>
      <c r="P217">
        <f t="shared" si="19"/>
        <v>0.25199879767320194</v>
      </c>
      <c r="Q217">
        <f t="shared" si="20"/>
        <v>0</v>
      </c>
      <c r="R217">
        <f t="shared" si="21"/>
        <v>1</v>
      </c>
      <c r="S217">
        <f t="shared" si="22"/>
        <v>0.25199879767320194</v>
      </c>
      <c r="T217">
        <f t="shared" si="23"/>
        <v>-1.3783309626201832</v>
      </c>
    </row>
    <row r="218" spans="1:20" x14ac:dyDescent="0.25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 s="5">
        <f t="shared" si="18"/>
        <v>-1.2677730658000002</v>
      </c>
      <c r="P218">
        <f t="shared" si="19"/>
        <v>0.21963870482458153</v>
      </c>
      <c r="Q218">
        <f t="shared" si="20"/>
        <v>0</v>
      </c>
      <c r="R218">
        <f t="shared" si="21"/>
        <v>0</v>
      </c>
      <c r="S218">
        <f t="shared" si="22"/>
        <v>0.78036129517541841</v>
      </c>
      <c r="T218">
        <f t="shared" si="23"/>
        <v>-0.2479982675991704</v>
      </c>
    </row>
    <row r="219" spans="1:20" x14ac:dyDescent="0.25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 s="5">
        <f t="shared" si="18"/>
        <v>-5.2808518539999998</v>
      </c>
      <c r="P219">
        <f t="shared" si="19"/>
        <v>5.0623369826801956E-3</v>
      </c>
      <c r="Q219">
        <f t="shared" si="20"/>
        <v>0</v>
      </c>
      <c r="R219">
        <f t="shared" si="21"/>
        <v>0</v>
      </c>
      <c r="S219">
        <f t="shared" si="22"/>
        <v>0.99493766301731978</v>
      </c>
      <c r="T219">
        <f t="shared" si="23"/>
        <v>-5.0751940200016183E-3</v>
      </c>
    </row>
    <row r="220" spans="1:20" x14ac:dyDescent="0.25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 s="5">
        <f t="shared" si="18"/>
        <v>-0.74098344899999891</v>
      </c>
      <c r="P220">
        <f t="shared" si="19"/>
        <v>0.32278912798695319</v>
      </c>
      <c r="Q220">
        <f t="shared" si="20"/>
        <v>0</v>
      </c>
      <c r="R220">
        <f t="shared" si="21"/>
        <v>0</v>
      </c>
      <c r="S220">
        <f t="shared" si="22"/>
        <v>0.67721087201304675</v>
      </c>
      <c r="T220">
        <f t="shared" si="23"/>
        <v>-0.38977257449135516</v>
      </c>
    </row>
    <row r="221" spans="1:20" x14ac:dyDescent="0.25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 s="5">
        <f t="shared" si="18"/>
        <v>1.3452137310000012</v>
      </c>
      <c r="P221">
        <f t="shared" si="19"/>
        <v>0.79334603015229066</v>
      </c>
      <c r="Q221">
        <f t="shared" si="20"/>
        <v>1</v>
      </c>
      <c r="R221">
        <f t="shared" si="21"/>
        <v>1</v>
      </c>
      <c r="S221">
        <f t="shared" si="22"/>
        <v>0.20665396984770934</v>
      </c>
      <c r="T221">
        <f t="shared" si="23"/>
        <v>-1.5767095277191527</v>
      </c>
    </row>
    <row r="222" spans="1:20" x14ac:dyDescent="0.25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 s="5">
        <f t="shared" si="18"/>
        <v>-1.5891485899999997</v>
      </c>
      <c r="P222">
        <f t="shared" si="19"/>
        <v>0.16950371807587031</v>
      </c>
      <c r="Q222">
        <f t="shared" si="20"/>
        <v>0</v>
      </c>
      <c r="R222">
        <f t="shared" si="21"/>
        <v>0</v>
      </c>
      <c r="S222">
        <f t="shared" si="22"/>
        <v>0.83049628192412972</v>
      </c>
      <c r="T222">
        <f t="shared" si="23"/>
        <v>-0.18573182685135589</v>
      </c>
    </row>
    <row r="223" spans="1:20" x14ac:dyDescent="0.25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 s="5">
        <f t="shared" si="18"/>
        <v>-2.729688286</v>
      </c>
      <c r="P223">
        <f t="shared" si="19"/>
        <v>6.1244081818188092E-2</v>
      </c>
      <c r="Q223">
        <f t="shared" si="20"/>
        <v>0</v>
      </c>
      <c r="R223">
        <f t="shared" si="21"/>
        <v>0</v>
      </c>
      <c r="S223">
        <f t="shared" si="22"/>
        <v>0.93875591818181192</v>
      </c>
      <c r="T223">
        <f t="shared" si="23"/>
        <v>-6.3199771602160656E-2</v>
      </c>
    </row>
    <row r="224" spans="1:20" x14ac:dyDescent="0.25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 s="5">
        <f t="shared" si="18"/>
        <v>-3.8377432809999994</v>
      </c>
      <c r="P224">
        <f t="shared" si="19"/>
        <v>2.1087882571544921E-2</v>
      </c>
      <c r="Q224">
        <f t="shared" si="20"/>
        <v>0</v>
      </c>
      <c r="R224">
        <f t="shared" si="21"/>
        <v>0</v>
      </c>
      <c r="S224">
        <f t="shared" si="22"/>
        <v>0.97891211742845508</v>
      </c>
      <c r="T224">
        <f t="shared" si="23"/>
        <v>-2.1313408174087195E-2</v>
      </c>
    </row>
    <row r="225" spans="1:20" x14ac:dyDescent="0.25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 s="5">
        <f t="shared" si="18"/>
        <v>-5.0399303789999994</v>
      </c>
      <c r="P225">
        <f t="shared" si="19"/>
        <v>6.432553411670176E-3</v>
      </c>
      <c r="Q225">
        <f t="shared" si="20"/>
        <v>0</v>
      </c>
      <c r="R225">
        <f t="shared" si="21"/>
        <v>0</v>
      </c>
      <c r="S225">
        <f t="shared" si="22"/>
        <v>0.99356744658832985</v>
      </c>
      <c r="T225">
        <f t="shared" si="23"/>
        <v>-6.4533314351258994E-3</v>
      </c>
    </row>
    <row r="226" spans="1:20" x14ac:dyDescent="0.25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 s="5">
        <f t="shared" si="18"/>
        <v>5.3996642720000008</v>
      </c>
      <c r="P226">
        <f t="shared" si="19"/>
        <v>0.99550222385148435</v>
      </c>
      <c r="Q226">
        <f t="shared" si="20"/>
        <v>1</v>
      </c>
      <c r="R226">
        <f t="shared" si="21"/>
        <v>0</v>
      </c>
      <c r="S226">
        <f t="shared" si="22"/>
        <v>0.99550222385148435</v>
      </c>
      <c r="T226">
        <f t="shared" si="23"/>
        <v>-4.5079215763286469E-3</v>
      </c>
    </row>
    <row r="227" spans="1:20" x14ac:dyDescent="0.25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 s="5">
        <f t="shared" si="18"/>
        <v>0.5659827564000004</v>
      </c>
      <c r="P227">
        <f t="shared" si="19"/>
        <v>0.63783570138450318</v>
      </c>
      <c r="Q227">
        <f t="shared" si="20"/>
        <v>1</v>
      </c>
      <c r="R227">
        <f t="shared" si="21"/>
        <v>0</v>
      </c>
      <c r="S227">
        <f t="shared" si="22"/>
        <v>0.63783570138450318</v>
      </c>
      <c r="T227">
        <f t="shared" si="23"/>
        <v>-0.44967455014256558</v>
      </c>
    </row>
    <row r="228" spans="1:20" x14ac:dyDescent="0.25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 s="5">
        <f t="shared" si="18"/>
        <v>-5.0084846544000001</v>
      </c>
      <c r="P228">
        <f t="shared" si="19"/>
        <v>6.6366799040672607E-3</v>
      </c>
      <c r="Q228">
        <f t="shared" si="20"/>
        <v>0</v>
      </c>
      <c r="R228">
        <f t="shared" si="21"/>
        <v>0</v>
      </c>
      <c r="S228">
        <f t="shared" si="22"/>
        <v>0.99336332009593276</v>
      </c>
      <c r="T228">
        <f t="shared" si="23"/>
        <v>-6.6588005904059085E-3</v>
      </c>
    </row>
    <row r="229" spans="1:20" x14ac:dyDescent="0.25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 s="5">
        <f t="shared" si="18"/>
        <v>-2.0387587282000004</v>
      </c>
      <c r="P229">
        <f t="shared" si="19"/>
        <v>0.11519318666321525</v>
      </c>
      <c r="Q229">
        <f t="shared" si="20"/>
        <v>0</v>
      </c>
      <c r="R229">
        <f t="shared" si="21"/>
        <v>0</v>
      </c>
      <c r="S229">
        <f t="shared" si="22"/>
        <v>0.88480681333678479</v>
      </c>
      <c r="T229">
        <f t="shared" si="23"/>
        <v>-0.12238594781787307</v>
      </c>
    </row>
    <row r="230" spans="1:20" x14ac:dyDescent="0.25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 s="5">
        <f t="shared" si="18"/>
        <v>-2.2398094889999989</v>
      </c>
      <c r="P230">
        <f t="shared" si="19"/>
        <v>9.6232109461854606E-2</v>
      </c>
      <c r="Q230">
        <f t="shared" si="20"/>
        <v>0</v>
      </c>
      <c r="R230">
        <f t="shared" si="21"/>
        <v>0</v>
      </c>
      <c r="S230">
        <f t="shared" si="22"/>
        <v>0.90376789053814544</v>
      </c>
      <c r="T230">
        <f t="shared" si="23"/>
        <v>-0.10118270981226836</v>
      </c>
    </row>
    <row r="231" spans="1:20" x14ac:dyDescent="0.25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 s="5">
        <f t="shared" si="18"/>
        <v>1.7767027259999999</v>
      </c>
      <c r="P231">
        <f t="shared" si="19"/>
        <v>0.8552892416699901</v>
      </c>
      <c r="Q231">
        <f t="shared" si="20"/>
        <v>1</v>
      </c>
      <c r="R231">
        <f t="shared" si="21"/>
        <v>0</v>
      </c>
      <c r="S231">
        <f t="shared" si="22"/>
        <v>0.8552892416699901</v>
      </c>
      <c r="T231">
        <f t="shared" si="23"/>
        <v>-0.15631557290314327</v>
      </c>
    </row>
    <row r="232" spans="1:20" x14ac:dyDescent="0.25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 s="5">
        <f t="shared" si="18"/>
        <v>0.64360936980000005</v>
      </c>
      <c r="P232">
        <f t="shared" si="19"/>
        <v>0.65556890721841776</v>
      </c>
      <c r="Q232">
        <f t="shared" si="20"/>
        <v>1</v>
      </c>
      <c r="R232">
        <f t="shared" si="21"/>
        <v>0</v>
      </c>
      <c r="S232">
        <f t="shared" si="22"/>
        <v>0.65556890721841776</v>
      </c>
      <c r="T232">
        <f t="shared" si="23"/>
        <v>-0.42225185968859985</v>
      </c>
    </row>
    <row r="233" spans="1:20" x14ac:dyDescent="0.25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 s="5">
        <f t="shared" si="18"/>
        <v>-2.9374035831999992</v>
      </c>
      <c r="P233">
        <f t="shared" si="19"/>
        <v>5.033524127542896E-2</v>
      </c>
      <c r="Q233">
        <f t="shared" si="20"/>
        <v>0</v>
      </c>
      <c r="R233">
        <f t="shared" si="21"/>
        <v>0</v>
      </c>
      <c r="S233">
        <f t="shared" si="22"/>
        <v>0.94966475872457101</v>
      </c>
      <c r="T233">
        <f t="shared" si="23"/>
        <v>-5.1646242219392416E-2</v>
      </c>
    </row>
    <row r="234" spans="1:20" x14ac:dyDescent="0.25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 s="5">
        <f t="shared" si="18"/>
        <v>1.8802655062000007</v>
      </c>
      <c r="P234">
        <f t="shared" si="19"/>
        <v>0.86764162007048273</v>
      </c>
      <c r="Q234">
        <f t="shared" si="20"/>
        <v>1</v>
      </c>
      <c r="R234">
        <f t="shared" si="21"/>
        <v>0</v>
      </c>
      <c r="S234">
        <f t="shared" si="22"/>
        <v>0.86764162007048273</v>
      </c>
      <c r="T234">
        <f t="shared" si="23"/>
        <v>-0.14197652968337565</v>
      </c>
    </row>
    <row r="235" spans="1:20" x14ac:dyDescent="0.25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 s="5">
        <f t="shared" si="18"/>
        <v>2.044447289399999</v>
      </c>
      <c r="P235">
        <f t="shared" si="19"/>
        <v>0.88538534467180063</v>
      </c>
      <c r="Q235">
        <f t="shared" si="20"/>
        <v>1</v>
      </c>
      <c r="R235">
        <f t="shared" si="21"/>
        <v>0</v>
      </c>
      <c r="S235">
        <f t="shared" si="22"/>
        <v>0.88538534467180063</v>
      </c>
      <c r="T235">
        <f t="shared" si="23"/>
        <v>-0.12173231103274081</v>
      </c>
    </row>
    <row r="236" spans="1:20" x14ac:dyDescent="0.25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 s="5">
        <f t="shared" si="18"/>
        <v>-1.2044798083999986</v>
      </c>
      <c r="P236">
        <f t="shared" si="19"/>
        <v>0.23067924233147247</v>
      </c>
      <c r="Q236">
        <f t="shared" si="20"/>
        <v>0</v>
      </c>
      <c r="R236">
        <f t="shared" si="21"/>
        <v>0</v>
      </c>
      <c r="S236">
        <f t="shared" si="22"/>
        <v>0.76932075766852748</v>
      </c>
      <c r="T236">
        <f t="shared" si="23"/>
        <v>-0.26224728634061323</v>
      </c>
    </row>
    <row r="237" spans="1:20" x14ac:dyDescent="0.25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 s="5">
        <f t="shared" si="18"/>
        <v>-2.0570517679999991</v>
      </c>
      <c r="P237">
        <f t="shared" si="19"/>
        <v>0.11334177629873232</v>
      </c>
      <c r="Q237">
        <f t="shared" si="20"/>
        <v>0</v>
      </c>
      <c r="R237">
        <f t="shared" si="21"/>
        <v>0</v>
      </c>
      <c r="S237">
        <f t="shared" si="22"/>
        <v>0.88665822370126768</v>
      </c>
      <c r="T237">
        <f t="shared" si="23"/>
        <v>-0.1202956880612653</v>
      </c>
    </row>
    <row r="238" spans="1:20" x14ac:dyDescent="0.25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 s="5">
        <f t="shared" si="18"/>
        <v>4.3589213506000011</v>
      </c>
      <c r="P238">
        <f t="shared" si="19"/>
        <v>0.98736939447416561</v>
      </c>
      <c r="Q238">
        <f t="shared" si="20"/>
        <v>1</v>
      </c>
      <c r="R238">
        <f t="shared" si="21"/>
        <v>0</v>
      </c>
      <c r="S238">
        <f t="shared" si="22"/>
        <v>0.98736939447416561</v>
      </c>
      <c r="T238">
        <f t="shared" si="23"/>
        <v>-1.2711049714159837E-2</v>
      </c>
    </row>
    <row r="239" spans="1:20" x14ac:dyDescent="0.25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 s="5">
        <f t="shared" si="18"/>
        <v>2.7691886688</v>
      </c>
      <c r="P239">
        <f t="shared" si="19"/>
        <v>0.9409879497313981</v>
      </c>
      <c r="Q239">
        <f t="shared" si="20"/>
        <v>1</v>
      </c>
      <c r="R239">
        <f t="shared" si="21"/>
        <v>0</v>
      </c>
      <c r="S239">
        <f t="shared" si="22"/>
        <v>0.9409879497313981</v>
      </c>
      <c r="T239">
        <f t="shared" si="23"/>
        <v>-6.0824945290231691E-2</v>
      </c>
    </row>
    <row r="240" spans="1:20" x14ac:dyDescent="0.25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 s="5">
        <f t="shared" si="18"/>
        <v>0.41111202239999933</v>
      </c>
      <c r="P240">
        <f t="shared" si="19"/>
        <v>0.6013544909613121</v>
      </c>
      <c r="Q240">
        <f t="shared" si="20"/>
        <v>1</v>
      </c>
      <c r="R240">
        <f t="shared" si="21"/>
        <v>0</v>
      </c>
      <c r="S240">
        <f t="shared" si="22"/>
        <v>0.6013544909613121</v>
      </c>
      <c r="T240">
        <f t="shared" si="23"/>
        <v>-0.50857068312117504</v>
      </c>
    </row>
    <row r="241" spans="1:20" x14ac:dyDescent="0.25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 s="5">
        <f t="shared" si="18"/>
        <v>-3.5146630590000001</v>
      </c>
      <c r="P241">
        <f t="shared" si="19"/>
        <v>2.8897889475767522E-2</v>
      </c>
      <c r="Q241">
        <f t="shared" si="20"/>
        <v>0</v>
      </c>
      <c r="R241">
        <f t="shared" si="21"/>
        <v>0</v>
      </c>
      <c r="S241">
        <f t="shared" si="22"/>
        <v>0.97110211052423245</v>
      </c>
      <c r="T241">
        <f t="shared" si="23"/>
        <v>-2.9323656050617673E-2</v>
      </c>
    </row>
    <row r="242" spans="1:20" x14ac:dyDescent="0.25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 s="5">
        <f t="shared" si="18"/>
        <v>-2.8901961919999994</v>
      </c>
      <c r="P242">
        <f t="shared" si="19"/>
        <v>5.2640333613162622E-2</v>
      </c>
      <c r="Q242">
        <f t="shared" si="20"/>
        <v>0</v>
      </c>
      <c r="R242">
        <f t="shared" si="21"/>
        <v>0</v>
      </c>
      <c r="S242">
        <f t="shared" si="22"/>
        <v>0.94735966638683733</v>
      </c>
      <c r="T242">
        <f t="shared" si="23"/>
        <v>-5.4076462349090561E-2</v>
      </c>
    </row>
    <row r="243" spans="1:20" x14ac:dyDescent="0.25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 s="5">
        <f t="shared" si="18"/>
        <v>-3.2302364229999991</v>
      </c>
      <c r="P243">
        <f t="shared" si="19"/>
        <v>3.8043593923917755E-2</v>
      </c>
      <c r="Q243">
        <f t="shared" si="20"/>
        <v>0</v>
      </c>
      <c r="R243">
        <f t="shared" si="21"/>
        <v>0</v>
      </c>
      <c r="S243">
        <f t="shared" si="22"/>
        <v>0.96195640607608224</v>
      </c>
      <c r="T243">
        <f t="shared" si="23"/>
        <v>-3.8786145272456746E-2</v>
      </c>
    </row>
    <row r="244" spans="1:20" x14ac:dyDescent="0.25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 s="5">
        <f t="shared" si="18"/>
        <v>-4.009598776999999</v>
      </c>
      <c r="P244">
        <f t="shared" si="19"/>
        <v>1.7817451680841551E-2</v>
      </c>
      <c r="Q244">
        <f t="shared" si="20"/>
        <v>0</v>
      </c>
      <c r="R244">
        <f t="shared" si="21"/>
        <v>0</v>
      </c>
      <c r="S244">
        <f t="shared" si="22"/>
        <v>0.98218254831915841</v>
      </c>
      <c r="T244">
        <f t="shared" si="23"/>
        <v>-1.7978093485202695E-2</v>
      </c>
    </row>
    <row r="245" spans="1:20" x14ac:dyDescent="0.25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 s="5">
        <f t="shared" si="18"/>
        <v>-3.0597026869999997</v>
      </c>
      <c r="P245">
        <f t="shared" si="19"/>
        <v>4.480042434620992E-2</v>
      </c>
      <c r="Q245">
        <f t="shared" si="20"/>
        <v>0</v>
      </c>
      <c r="R245">
        <f t="shared" si="21"/>
        <v>0</v>
      </c>
      <c r="S245">
        <f t="shared" si="22"/>
        <v>0.9551995756537901</v>
      </c>
      <c r="T245">
        <f t="shared" si="23"/>
        <v>-4.5834980592442794E-2</v>
      </c>
    </row>
    <row r="246" spans="1:20" x14ac:dyDescent="0.25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 s="5">
        <f t="shared" si="18"/>
        <v>0.39671487280000051</v>
      </c>
      <c r="P246">
        <f t="shared" si="19"/>
        <v>0.59789811774075574</v>
      </c>
      <c r="Q246">
        <f t="shared" si="20"/>
        <v>1</v>
      </c>
      <c r="R246">
        <f t="shared" si="21"/>
        <v>0</v>
      </c>
      <c r="S246">
        <f t="shared" si="22"/>
        <v>0.59789811774075574</v>
      </c>
      <c r="T246">
        <f t="shared" si="23"/>
        <v>-0.51433491121738406</v>
      </c>
    </row>
    <row r="247" spans="1:20" x14ac:dyDescent="0.25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 s="5">
        <f t="shared" si="18"/>
        <v>-4.1238720749999995</v>
      </c>
      <c r="P247">
        <f t="shared" si="19"/>
        <v>1.5924057192518506E-2</v>
      </c>
      <c r="Q247">
        <f t="shared" si="20"/>
        <v>0</v>
      </c>
      <c r="R247">
        <f t="shared" si="21"/>
        <v>0</v>
      </c>
      <c r="S247">
        <f t="shared" si="22"/>
        <v>0.98407594280748145</v>
      </c>
      <c r="T247">
        <f t="shared" si="23"/>
        <v>-1.6052207258045702E-2</v>
      </c>
    </row>
    <row r="248" spans="1:20" x14ac:dyDescent="0.25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 s="5">
        <f t="shared" si="18"/>
        <v>0.31573204200000049</v>
      </c>
      <c r="P248">
        <f t="shared" si="19"/>
        <v>0.57828376739931386</v>
      </c>
      <c r="Q248">
        <f t="shared" si="20"/>
        <v>1</v>
      </c>
      <c r="R248">
        <f t="shared" si="21"/>
        <v>0</v>
      </c>
      <c r="S248">
        <f t="shared" si="22"/>
        <v>0.57828376739931386</v>
      </c>
      <c r="T248">
        <f t="shared" si="23"/>
        <v>-0.54769058372720014</v>
      </c>
    </row>
    <row r="249" spans="1:20" x14ac:dyDescent="0.25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 s="5">
        <f t="shared" si="18"/>
        <v>4.1644697800000685E-2</v>
      </c>
      <c r="P249">
        <f t="shared" si="19"/>
        <v>0.51040967005252724</v>
      </c>
      <c r="Q249">
        <f t="shared" si="20"/>
        <v>1</v>
      </c>
      <c r="R249">
        <f t="shared" si="21"/>
        <v>0</v>
      </c>
      <c r="S249">
        <f t="shared" si="22"/>
        <v>0.51040967005252724</v>
      </c>
      <c r="T249">
        <f t="shared" si="23"/>
        <v>-0.67254160110335193</v>
      </c>
    </row>
    <row r="250" spans="1:20" x14ac:dyDescent="0.25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 s="5">
        <f t="shared" si="18"/>
        <v>2.2612590060000013</v>
      </c>
      <c r="P250">
        <f t="shared" si="19"/>
        <v>0.90561729906162436</v>
      </c>
      <c r="Q250">
        <f t="shared" si="20"/>
        <v>1</v>
      </c>
      <c r="R250">
        <f t="shared" si="21"/>
        <v>0</v>
      </c>
      <c r="S250">
        <f t="shared" si="22"/>
        <v>0.90561729906162436</v>
      </c>
      <c r="T250">
        <f t="shared" si="23"/>
        <v>-9.9138469394967288E-2</v>
      </c>
    </row>
    <row r="251" spans="1:20" x14ac:dyDescent="0.25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 s="5">
        <f t="shared" si="18"/>
        <v>1.860222885999999</v>
      </c>
      <c r="P251">
        <f t="shared" si="19"/>
        <v>0.86532292511035835</v>
      </c>
      <c r="Q251">
        <f t="shared" si="20"/>
        <v>1</v>
      </c>
      <c r="R251">
        <f t="shared" si="21"/>
        <v>0</v>
      </c>
      <c r="S251">
        <f t="shared" si="22"/>
        <v>0.86532292511035835</v>
      </c>
      <c r="T251">
        <f t="shared" si="23"/>
        <v>-0.14465251789125513</v>
      </c>
    </row>
    <row r="252" spans="1:20" x14ac:dyDescent="0.25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 s="5">
        <f t="shared" si="18"/>
        <v>-3.4926765149999994</v>
      </c>
      <c r="P252">
        <f t="shared" si="19"/>
        <v>2.9521325876946222E-2</v>
      </c>
      <c r="Q252">
        <f t="shared" si="20"/>
        <v>0</v>
      </c>
      <c r="R252">
        <f t="shared" si="21"/>
        <v>0</v>
      </c>
      <c r="S252">
        <f t="shared" si="22"/>
        <v>0.97047867412305377</v>
      </c>
      <c r="T252">
        <f t="shared" si="23"/>
        <v>-2.9965850727794698E-2</v>
      </c>
    </row>
    <row r="253" spans="1:20" x14ac:dyDescent="0.25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 s="5">
        <f t="shared" si="18"/>
        <v>0.98215527400000013</v>
      </c>
      <c r="P253">
        <f t="shared" si="19"/>
        <v>0.72753566042188234</v>
      </c>
      <c r="Q253">
        <f t="shared" si="20"/>
        <v>1</v>
      </c>
      <c r="R253">
        <f t="shared" si="21"/>
        <v>1</v>
      </c>
      <c r="S253">
        <f t="shared" si="22"/>
        <v>0.27246433957811766</v>
      </c>
      <c r="T253">
        <f t="shared" si="23"/>
        <v>-1.3002475373757831</v>
      </c>
    </row>
    <row r="254" spans="1:20" x14ac:dyDescent="0.25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 s="5">
        <f t="shared" si="18"/>
        <v>3.1617001569999985</v>
      </c>
      <c r="P254">
        <f t="shared" si="19"/>
        <v>0.95936727323776261</v>
      </c>
      <c r="Q254">
        <f t="shared" si="20"/>
        <v>1</v>
      </c>
      <c r="R254">
        <f t="shared" si="21"/>
        <v>0</v>
      </c>
      <c r="S254">
        <f t="shared" si="22"/>
        <v>0.95936727323776261</v>
      </c>
      <c r="T254">
        <f t="shared" si="23"/>
        <v>-4.1481302193132008E-2</v>
      </c>
    </row>
    <row r="255" spans="1:20" x14ac:dyDescent="0.25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 s="5">
        <f t="shared" si="18"/>
        <v>3.349556570599999</v>
      </c>
      <c r="P255">
        <f t="shared" si="19"/>
        <v>0.96609031217505992</v>
      </c>
      <c r="Q255">
        <f t="shared" si="20"/>
        <v>1</v>
      </c>
      <c r="R255">
        <f t="shared" si="21"/>
        <v>1</v>
      </c>
      <c r="S255">
        <f t="shared" si="22"/>
        <v>3.3909687824940082E-2</v>
      </c>
      <c r="T255">
        <f t="shared" si="23"/>
        <v>-3.3840545288751667</v>
      </c>
    </row>
    <row r="256" spans="1:20" x14ac:dyDescent="0.25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 s="5">
        <f t="shared" si="18"/>
        <v>-3.0117830861999995</v>
      </c>
      <c r="P256">
        <f t="shared" si="19"/>
        <v>4.6896382453717814E-2</v>
      </c>
      <c r="Q256">
        <f t="shared" si="20"/>
        <v>0</v>
      </c>
      <c r="R256">
        <f t="shared" si="21"/>
        <v>0</v>
      </c>
      <c r="S256">
        <f t="shared" si="22"/>
        <v>0.95310361754628214</v>
      </c>
      <c r="T256">
        <f t="shared" si="23"/>
        <v>-4.8031653487810008E-2</v>
      </c>
    </row>
    <row r="257" spans="1:20" x14ac:dyDescent="0.25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 s="5">
        <f t="shared" si="18"/>
        <v>-1.3584971143999987</v>
      </c>
      <c r="P257">
        <f t="shared" si="19"/>
        <v>0.20448466914487023</v>
      </c>
      <c r="Q257">
        <f t="shared" si="20"/>
        <v>0</v>
      </c>
      <c r="R257">
        <f t="shared" si="21"/>
        <v>0</v>
      </c>
      <c r="S257">
        <f t="shared" si="22"/>
        <v>0.79551533085512971</v>
      </c>
      <c r="T257">
        <f t="shared" si="23"/>
        <v>-0.22876515941623304</v>
      </c>
    </row>
    <row r="258" spans="1:20" x14ac:dyDescent="0.25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 s="5">
        <f t="shared" si="18"/>
        <v>-3.713273826</v>
      </c>
      <c r="P258">
        <f t="shared" si="19"/>
        <v>2.3816456692532323E-2</v>
      </c>
      <c r="Q258">
        <f t="shared" si="20"/>
        <v>0</v>
      </c>
      <c r="R258">
        <f t="shared" si="21"/>
        <v>0</v>
      </c>
      <c r="S258">
        <f t="shared" si="22"/>
        <v>0.9761835433074677</v>
      </c>
      <c r="T258">
        <f t="shared" si="23"/>
        <v>-2.4104653581995674E-2</v>
      </c>
    </row>
    <row r="259" spans="1:20" x14ac:dyDescent="0.25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 s="5">
        <f t="shared" si="18"/>
        <v>-1.0778486995999996</v>
      </c>
      <c r="P259">
        <f t="shared" si="19"/>
        <v>0.25391334613338506</v>
      </c>
      <c r="Q259">
        <f t="shared" si="20"/>
        <v>0</v>
      </c>
      <c r="R259">
        <f t="shared" si="21"/>
        <v>0</v>
      </c>
      <c r="S259">
        <f t="shared" si="22"/>
        <v>0.74608665386661488</v>
      </c>
      <c r="T259">
        <f t="shared" si="23"/>
        <v>-0.29291352752605082</v>
      </c>
    </row>
    <row r="260" spans="1:20" x14ac:dyDescent="0.25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 s="5">
        <f t="shared" si="18"/>
        <v>-2.0786539751999999</v>
      </c>
      <c r="P260">
        <f t="shared" si="19"/>
        <v>0.11118891928154064</v>
      </c>
      <c r="Q260">
        <f t="shared" si="20"/>
        <v>0</v>
      </c>
      <c r="R260">
        <f t="shared" si="21"/>
        <v>0</v>
      </c>
      <c r="S260">
        <f t="shared" si="22"/>
        <v>0.88881108071845938</v>
      </c>
      <c r="T260">
        <f t="shared" si="23"/>
        <v>-0.11787057367945759</v>
      </c>
    </row>
    <row r="261" spans="1:20" x14ac:dyDescent="0.25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 s="5">
        <f t="shared" si="18"/>
        <v>-1.7879294190000001</v>
      </c>
      <c r="P261">
        <f t="shared" si="19"/>
        <v>0.14332677041709893</v>
      </c>
      <c r="Q261">
        <f t="shared" si="20"/>
        <v>0</v>
      </c>
      <c r="R261">
        <f t="shared" si="21"/>
        <v>0</v>
      </c>
      <c r="S261">
        <f t="shared" si="22"/>
        <v>0.85667322958290104</v>
      </c>
      <c r="T261">
        <f t="shared" si="23"/>
        <v>-0.15469872879861324</v>
      </c>
    </row>
    <row r="262" spans="1:20" x14ac:dyDescent="0.25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 s="5">
        <f t="shared" si="18"/>
        <v>-1.2923636225999999</v>
      </c>
      <c r="P262">
        <f t="shared" si="19"/>
        <v>0.2154530118729463</v>
      </c>
      <c r="Q262">
        <f t="shared" si="20"/>
        <v>0</v>
      </c>
      <c r="R262">
        <f t="shared" si="21"/>
        <v>1</v>
      </c>
      <c r="S262">
        <f t="shared" si="22"/>
        <v>0.2154530118729463</v>
      </c>
      <c r="T262">
        <f t="shared" si="23"/>
        <v>-1.5350124355659418</v>
      </c>
    </row>
    <row r="263" spans="1:20" x14ac:dyDescent="0.25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 s="5">
        <f t="shared" ref="O263:O302" si="24">SUMPRODUCT(A$4:M$4, A263:M263)+N$4</f>
        <v>-1.7869613846000005</v>
      </c>
      <c r="P263">
        <f t="shared" ref="P263:P302" si="25">1/(1+EXP(0-O263))</f>
        <v>0.1434456707972227</v>
      </c>
      <c r="Q263">
        <f t="shared" ref="Q263:Q302" si="26">IF(P263&lt;=0.5, 0, 1)</f>
        <v>0</v>
      </c>
      <c r="R263">
        <f t="shared" ref="R263:R302" si="27">IF(N263=Q263, 0, 1)</f>
        <v>0</v>
      </c>
      <c r="S263">
        <f t="shared" ref="S263:S302" si="28">IF(N263=1, P263, 1-P263)</f>
        <v>0.8565543292027773</v>
      </c>
      <c r="T263">
        <f t="shared" ref="T263:T302" si="29">IF(S263=0, -100000, LN(S263))</f>
        <v>-0.15483753158602451</v>
      </c>
    </row>
    <row r="264" spans="1:20" x14ac:dyDescent="0.25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 s="5">
        <f t="shared" si="24"/>
        <v>-1.713820264999999</v>
      </c>
      <c r="P264">
        <f t="shared" si="25"/>
        <v>0.15266886613299049</v>
      </c>
      <c r="Q264">
        <f t="shared" si="26"/>
        <v>0</v>
      </c>
      <c r="R264">
        <f t="shared" si="27"/>
        <v>1</v>
      </c>
      <c r="S264">
        <f t="shared" si="28"/>
        <v>0.15266886613299049</v>
      </c>
      <c r="T264">
        <f t="shared" si="29"/>
        <v>-1.8794839766551874</v>
      </c>
    </row>
    <row r="265" spans="1:20" x14ac:dyDescent="0.25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 s="5">
        <f t="shared" si="24"/>
        <v>-4.5498532637999993</v>
      </c>
      <c r="P265">
        <f t="shared" si="25"/>
        <v>1.0458224673794611E-2</v>
      </c>
      <c r="Q265">
        <f t="shared" si="26"/>
        <v>0</v>
      </c>
      <c r="R265">
        <f t="shared" si="27"/>
        <v>0</v>
      </c>
      <c r="S265">
        <f t="shared" si="28"/>
        <v>0.98954177532620535</v>
      </c>
      <c r="T265">
        <f t="shared" si="29"/>
        <v>-1.0513296208964008E-2</v>
      </c>
    </row>
    <row r="266" spans="1:20" x14ac:dyDescent="0.25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 s="5">
        <f t="shared" si="24"/>
        <v>-2.8319364369999995</v>
      </c>
      <c r="P266">
        <f t="shared" si="25"/>
        <v>5.562259180021073E-2</v>
      </c>
      <c r="Q266">
        <f t="shared" si="26"/>
        <v>0</v>
      </c>
      <c r="R266">
        <f t="shared" si="27"/>
        <v>0</v>
      </c>
      <c r="S266">
        <f t="shared" si="28"/>
        <v>0.94437740819978933</v>
      </c>
      <c r="T266">
        <f t="shared" si="29"/>
        <v>-5.7229395912280545E-2</v>
      </c>
    </row>
    <row r="267" spans="1:20" x14ac:dyDescent="0.25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 s="5">
        <f t="shared" si="24"/>
        <v>2.6903133618000012</v>
      </c>
      <c r="P267">
        <f t="shared" si="25"/>
        <v>0.93645263209423923</v>
      </c>
      <c r="Q267">
        <f t="shared" si="26"/>
        <v>1</v>
      </c>
      <c r="R267">
        <f t="shared" si="27"/>
        <v>0</v>
      </c>
      <c r="S267">
        <f t="shared" si="28"/>
        <v>0.93645263209423923</v>
      </c>
      <c r="T267">
        <f t="shared" si="29"/>
        <v>-6.5656338095034766E-2</v>
      </c>
    </row>
    <row r="268" spans="1:20" x14ac:dyDescent="0.25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 s="5">
        <f t="shared" si="24"/>
        <v>2.4840836354000011</v>
      </c>
      <c r="P268">
        <f t="shared" si="25"/>
        <v>0.92301846383335262</v>
      </c>
      <c r="Q268">
        <f t="shared" si="26"/>
        <v>1</v>
      </c>
      <c r="R268">
        <f t="shared" si="27"/>
        <v>0</v>
      </c>
      <c r="S268">
        <f t="shared" si="28"/>
        <v>0.92301846383335262</v>
      </c>
      <c r="T268">
        <f t="shared" si="29"/>
        <v>-8.0106040526220529E-2</v>
      </c>
    </row>
    <row r="269" spans="1:20" x14ac:dyDescent="0.25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 s="5">
        <f t="shared" si="24"/>
        <v>0.17508124760000054</v>
      </c>
      <c r="P269">
        <f t="shared" si="25"/>
        <v>0.54365884434294987</v>
      </c>
      <c r="Q269">
        <f t="shared" si="26"/>
        <v>1</v>
      </c>
      <c r="R269">
        <f t="shared" si="27"/>
        <v>0</v>
      </c>
      <c r="S269">
        <f t="shared" si="28"/>
        <v>0.54365884434294987</v>
      </c>
      <c r="T269">
        <f t="shared" si="29"/>
        <v>-0.60943335322051084</v>
      </c>
    </row>
    <row r="270" spans="1:20" x14ac:dyDescent="0.25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 s="5">
        <f t="shared" si="24"/>
        <v>-0.31715891099999993</v>
      </c>
      <c r="P270">
        <f t="shared" si="25"/>
        <v>0.4213682986243022</v>
      </c>
      <c r="Q270">
        <f t="shared" si="26"/>
        <v>0</v>
      </c>
      <c r="R270">
        <f t="shared" si="27"/>
        <v>1</v>
      </c>
      <c r="S270">
        <f t="shared" si="28"/>
        <v>0.4213682986243022</v>
      </c>
      <c r="T270">
        <f t="shared" si="29"/>
        <v>-0.86424800914547106</v>
      </c>
    </row>
    <row r="271" spans="1:20" x14ac:dyDescent="0.25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 s="5">
        <f t="shared" si="24"/>
        <v>-2.4003478299999994</v>
      </c>
      <c r="P271">
        <f t="shared" si="25"/>
        <v>8.3146176562862883E-2</v>
      </c>
      <c r="Q271">
        <f t="shared" si="26"/>
        <v>0</v>
      </c>
      <c r="R271">
        <f t="shared" si="27"/>
        <v>0</v>
      </c>
      <c r="S271">
        <f t="shared" si="28"/>
        <v>0.91685382343713706</v>
      </c>
      <c r="T271">
        <f t="shared" si="29"/>
        <v>-8.6807226807365023E-2</v>
      </c>
    </row>
    <row r="272" spans="1:20" x14ac:dyDescent="0.25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 s="5">
        <f t="shared" si="24"/>
        <v>3.0597389002000011</v>
      </c>
      <c r="P272">
        <f t="shared" si="25"/>
        <v>0.9552011253122541</v>
      </c>
      <c r="Q272">
        <f t="shared" si="26"/>
        <v>1</v>
      </c>
      <c r="R272">
        <f t="shared" si="27"/>
        <v>0</v>
      </c>
      <c r="S272">
        <f t="shared" si="28"/>
        <v>0.9552011253122541</v>
      </c>
      <c r="T272">
        <f t="shared" si="29"/>
        <v>-4.5833358253775089E-2</v>
      </c>
    </row>
    <row r="273" spans="1:20" x14ac:dyDescent="0.25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 s="5">
        <f t="shared" si="24"/>
        <v>1.1359140194000013</v>
      </c>
      <c r="P273">
        <f t="shared" si="25"/>
        <v>0.75692865840434775</v>
      </c>
      <c r="Q273">
        <f t="shared" si="26"/>
        <v>1</v>
      </c>
      <c r="R273">
        <f t="shared" si="27"/>
        <v>1</v>
      </c>
      <c r="S273">
        <f t="shared" si="28"/>
        <v>0.24307134159565225</v>
      </c>
      <c r="T273">
        <f t="shared" si="29"/>
        <v>-1.4144002919163801</v>
      </c>
    </row>
    <row r="274" spans="1:20" x14ac:dyDescent="0.25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 s="5">
        <f t="shared" si="24"/>
        <v>5.486338807400001</v>
      </c>
      <c r="P274">
        <f t="shared" si="25"/>
        <v>0.99587410879805915</v>
      </c>
      <c r="Q274">
        <f t="shared" si="26"/>
        <v>1</v>
      </c>
      <c r="R274">
        <f t="shared" si="27"/>
        <v>0</v>
      </c>
      <c r="S274">
        <f t="shared" si="28"/>
        <v>0.99587410879805915</v>
      </c>
      <c r="T274">
        <f t="shared" si="29"/>
        <v>-4.1344261753833754E-3</v>
      </c>
    </row>
    <row r="275" spans="1:20" x14ac:dyDescent="0.25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 s="5">
        <f t="shared" si="24"/>
        <v>-2.6524051972000002</v>
      </c>
      <c r="P275">
        <f t="shared" si="25"/>
        <v>6.5840921118500553E-2</v>
      </c>
      <c r="Q275">
        <f t="shared" si="26"/>
        <v>0</v>
      </c>
      <c r="R275">
        <f t="shared" si="27"/>
        <v>0</v>
      </c>
      <c r="S275">
        <f t="shared" si="28"/>
        <v>0.93415907888149941</v>
      </c>
      <c r="T275">
        <f t="shared" si="29"/>
        <v>-6.8108535254493827E-2</v>
      </c>
    </row>
    <row r="276" spans="1:20" x14ac:dyDescent="0.25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 s="5">
        <f t="shared" si="24"/>
        <v>-1.0914478136000003</v>
      </c>
      <c r="P276">
        <f t="shared" si="25"/>
        <v>0.2513457437056969</v>
      </c>
      <c r="Q276">
        <f t="shared" si="26"/>
        <v>0</v>
      </c>
      <c r="R276">
        <f t="shared" si="27"/>
        <v>1</v>
      </c>
      <c r="S276">
        <f t="shared" si="28"/>
        <v>0.2513457437056969</v>
      </c>
      <c r="T276">
        <f t="shared" si="29"/>
        <v>-1.3809258227219732</v>
      </c>
    </row>
    <row r="277" spans="1:20" x14ac:dyDescent="0.25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 s="5">
        <f t="shared" si="24"/>
        <v>-0.18592983919999995</v>
      </c>
      <c r="P277">
        <f t="shared" si="25"/>
        <v>0.45365098674755727</v>
      </c>
      <c r="Q277">
        <f t="shared" si="26"/>
        <v>0</v>
      </c>
      <c r="R277">
        <f t="shared" si="27"/>
        <v>0</v>
      </c>
      <c r="S277">
        <f t="shared" si="28"/>
        <v>0.54634901325244267</v>
      </c>
      <c r="T277">
        <f t="shared" si="29"/>
        <v>-0.6044972890392335</v>
      </c>
    </row>
    <row r="278" spans="1:20" x14ac:dyDescent="0.25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 s="5">
        <f t="shared" si="24"/>
        <v>-0.89130039399999994</v>
      </c>
      <c r="P278">
        <f t="shared" si="25"/>
        <v>0.29084154467557188</v>
      </c>
      <c r="Q278">
        <f t="shared" si="26"/>
        <v>0</v>
      </c>
      <c r="R278">
        <f t="shared" si="27"/>
        <v>0</v>
      </c>
      <c r="S278">
        <f t="shared" si="28"/>
        <v>0.70915845532442812</v>
      </c>
      <c r="T278">
        <f t="shared" si="29"/>
        <v>-0.34367628613072398</v>
      </c>
    </row>
    <row r="279" spans="1:20" x14ac:dyDescent="0.25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 s="5">
        <f t="shared" si="24"/>
        <v>-2.7490974029999995</v>
      </c>
      <c r="P279">
        <f t="shared" si="25"/>
        <v>6.0137645708047978E-2</v>
      </c>
      <c r="Q279">
        <f t="shared" si="26"/>
        <v>0</v>
      </c>
      <c r="R279">
        <f t="shared" si="27"/>
        <v>0</v>
      </c>
      <c r="S279">
        <f t="shared" si="28"/>
        <v>0.93986235429195197</v>
      </c>
      <c r="T279">
        <f t="shared" si="29"/>
        <v>-6.2021846044547975E-2</v>
      </c>
    </row>
    <row r="280" spans="1:20" x14ac:dyDescent="0.25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 s="5">
        <f t="shared" si="24"/>
        <v>-0.88309795099999899</v>
      </c>
      <c r="P280">
        <f t="shared" si="25"/>
        <v>0.2925362189227948</v>
      </c>
      <c r="Q280">
        <f t="shared" si="26"/>
        <v>0</v>
      </c>
      <c r="R280">
        <f t="shared" si="27"/>
        <v>1</v>
      </c>
      <c r="S280">
        <f t="shared" si="28"/>
        <v>0.2925362189227948</v>
      </c>
      <c r="T280">
        <f t="shared" si="29"/>
        <v>-1.2291667945988789</v>
      </c>
    </row>
    <row r="281" spans="1:20" x14ac:dyDescent="0.25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 s="5">
        <f t="shared" si="24"/>
        <v>-2.1671048951999987</v>
      </c>
      <c r="P281">
        <f t="shared" si="25"/>
        <v>0.1027436187487502</v>
      </c>
      <c r="Q281">
        <f t="shared" si="26"/>
        <v>0</v>
      </c>
      <c r="R281">
        <f t="shared" si="27"/>
        <v>0</v>
      </c>
      <c r="S281">
        <f t="shared" si="28"/>
        <v>0.89725638125124985</v>
      </c>
      <c r="T281">
        <f t="shared" si="29"/>
        <v>-0.10841363696940153</v>
      </c>
    </row>
    <row r="282" spans="1:20" x14ac:dyDescent="0.25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 s="5">
        <f t="shared" si="24"/>
        <v>3.2830003630000011</v>
      </c>
      <c r="P282">
        <f t="shared" si="25"/>
        <v>0.96384099651578248</v>
      </c>
      <c r="Q282">
        <f t="shared" si="26"/>
        <v>1</v>
      </c>
      <c r="R282">
        <f t="shared" si="27"/>
        <v>0</v>
      </c>
      <c r="S282">
        <f t="shared" si="28"/>
        <v>0.96384099651578248</v>
      </c>
      <c r="T282">
        <f t="shared" si="29"/>
        <v>-3.6828939349585407E-2</v>
      </c>
    </row>
    <row r="283" spans="1:20" x14ac:dyDescent="0.25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 s="5">
        <f t="shared" si="24"/>
        <v>-2.7057315170000003</v>
      </c>
      <c r="P283">
        <f t="shared" si="25"/>
        <v>6.2635998295658427E-2</v>
      </c>
      <c r="Q283">
        <f t="shared" si="26"/>
        <v>0</v>
      </c>
      <c r="R283">
        <f t="shared" si="27"/>
        <v>0</v>
      </c>
      <c r="S283">
        <f t="shared" si="28"/>
        <v>0.93736400170434153</v>
      </c>
      <c r="T283">
        <f t="shared" si="29"/>
        <v>-6.4683596509196389E-2</v>
      </c>
    </row>
    <row r="284" spans="1:20" x14ac:dyDescent="0.25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 s="5">
        <f t="shared" si="24"/>
        <v>2.0489917730000009</v>
      </c>
      <c r="P284">
        <f t="shared" si="25"/>
        <v>0.88584570334306867</v>
      </c>
      <c r="Q284">
        <f t="shared" si="26"/>
        <v>1</v>
      </c>
      <c r="R284">
        <f t="shared" si="27"/>
        <v>0</v>
      </c>
      <c r="S284">
        <f t="shared" si="28"/>
        <v>0.88584570334306867</v>
      </c>
      <c r="T284">
        <f t="shared" si="29"/>
        <v>-0.12121249326853649</v>
      </c>
    </row>
    <row r="285" spans="1:20" x14ac:dyDescent="0.25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 s="5">
        <f t="shared" si="24"/>
        <v>-3.5054875420000005</v>
      </c>
      <c r="P285">
        <f t="shared" si="25"/>
        <v>2.9156496228236944E-2</v>
      </c>
      <c r="Q285">
        <f t="shared" si="26"/>
        <v>0</v>
      </c>
      <c r="R285">
        <f t="shared" si="27"/>
        <v>0</v>
      </c>
      <c r="S285">
        <f t="shared" si="28"/>
        <v>0.97084350377176309</v>
      </c>
      <c r="T285">
        <f t="shared" si="29"/>
        <v>-2.958999384308136E-2</v>
      </c>
    </row>
    <row r="286" spans="1:20" x14ac:dyDescent="0.25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 s="5">
        <f t="shared" si="24"/>
        <v>0.87038872399999967</v>
      </c>
      <c r="P286">
        <f t="shared" si="25"/>
        <v>0.70482657693856365</v>
      </c>
      <c r="Q286">
        <f t="shared" si="26"/>
        <v>1</v>
      </c>
      <c r="R286">
        <f t="shared" si="27"/>
        <v>0</v>
      </c>
      <c r="S286">
        <f t="shared" si="28"/>
        <v>0.70482657693856365</v>
      </c>
      <c r="T286">
        <f t="shared" si="29"/>
        <v>-0.3498034965884757</v>
      </c>
    </row>
    <row r="287" spans="1:20" x14ac:dyDescent="0.25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 s="5">
        <f t="shared" si="24"/>
        <v>5.7690064402000001</v>
      </c>
      <c r="P287">
        <f t="shared" si="25"/>
        <v>0.99688686316632957</v>
      </c>
      <c r="Q287">
        <f t="shared" si="26"/>
        <v>1</v>
      </c>
      <c r="R287">
        <f t="shared" si="27"/>
        <v>0</v>
      </c>
      <c r="S287">
        <f t="shared" si="28"/>
        <v>0.99688686316632957</v>
      </c>
      <c r="T287">
        <f t="shared" si="29"/>
        <v>-3.1179927247975653E-3</v>
      </c>
    </row>
    <row r="288" spans="1:20" x14ac:dyDescent="0.25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 s="5">
        <f t="shared" si="24"/>
        <v>3.1305821314000006</v>
      </c>
      <c r="P288">
        <f t="shared" si="25"/>
        <v>0.95813674887967415</v>
      </c>
      <c r="Q288">
        <f t="shared" si="26"/>
        <v>1</v>
      </c>
      <c r="R288">
        <f t="shared" si="27"/>
        <v>0</v>
      </c>
      <c r="S288">
        <f t="shared" si="28"/>
        <v>0.95813674887967415</v>
      </c>
      <c r="T288">
        <f t="shared" si="29"/>
        <v>-4.2764767064979337E-2</v>
      </c>
    </row>
    <row r="289" spans="1:20" x14ac:dyDescent="0.25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 s="5">
        <f t="shared" si="24"/>
        <v>-1.3722716109999986</v>
      </c>
      <c r="P289">
        <f t="shared" si="25"/>
        <v>0.2022530814185948</v>
      </c>
      <c r="Q289">
        <f t="shared" si="26"/>
        <v>0</v>
      </c>
      <c r="R289">
        <f t="shared" si="27"/>
        <v>0</v>
      </c>
      <c r="S289">
        <f t="shared" si="28"/>
        <v>0.79774691858140523</v>
      </c>
      <c r="T289">
        <f t="shared" si="29"/>
        <v>-0.22596387646815394</v>
      </c>
    </row>
    <row r="290" spans="1:20" x14ac:dyDescent="0.25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 s="5">
        <f t="shared" si="24"/>
        <v>-2.3677614829999989</v>
      </c>
      <c r="P290">
        <f t="shared" si="25"/>
        <v>8.5664310831430779E-2</v>
      </c>
      <c r="Q290">
        <f t="shared" si="26"/>
        <v>0</v>
      </c>
      <c r="R290">
        <f t="shared" si="27"/>
        <v>0</v>
      </c>
      <c r="S290">
        <f t="shared" si="28"/>
        <v>0.91433568916856922</v>
      </c>
      <c r="T290">
        <f t="shared" si="29"/>
        <v>-8.9557500155369452E-2</v>
      </c>
    </row>
    <row r="291" spans="1:20" x14ac:dyDescent="0.25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 s="5">
        <f t="shared" si="24"/>
        <v>0.56848240939999961</v>
      </c>
      <c r="P291">
        <f t="shared" si="25"/>
        <v>0.63841292534748428</v>
      </c>
      <c r="Q291">
        <f t="shared" si="26"/>
        <v>1</v>
      </c>
      <c r="R291">
        <f t="shared" si="27"/>
        <v>0</v>
      </c>
      <c r="S291">
        <f t="shared" si="28"/>
        <v>0.63841292534748428</v>
      </c>
      <c r="T291">
        <f t="shared" si="29"/>
        <v>-0.44876998657987183</v>
      </c>
    </row>
    <row r="292" spans="1:20" x14ac:dyDescent="0.25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 s="5">
        <f t="shared" si="24"/>
        <v>-3.6488651223999997</v>
      </c>
      <c r="P292">
        <f t="shared" si="25"/>
        <v>2.5360739541171073E-2</v>
      </c>
      <c r="Q292">
        <f t="shared" si="26"/>
        <v>0</v>
      </c>
      <c r="R292">
        <f t="shared" si="27"/>
        <v>0</v>
      </c>
      <c r="S292">
        <f t="shared" si="28"/>
        <v>0.97463926045882898</v>
      </c>
      <c r="T292">
        <f t="shared" si="29"/>
        <v>-2.5687865720204407E-2</v>
      </c>
    </row>
    <row r="293" spans="1:20" x14ac:dyDescent="0.25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 s="5">
        <f t="shared" si="24"/>
        <v>1.7665175594000004</v>
      </c>
      <c r="P293">
        <f t="shared" si="25"/>
        <v>0.85402406078713011</v>
      </c>
      <c r="Q293">
        <f t="shared" si="26"/>
        <v>1</v>
      </c>
      <c r="R293">
        <f t="shared" si="27"/>
        <v>0</v>
      </c>
      <c r="S293">
        <f t="shared" si="28"/>
        <v>0.85402406078713011</v>
      </c>
      <c r="T293">
        <f t="shared" si="29"/>
        <v>-0.15779591136664742</v>
      </c>
    </row>
    <row r="294" spans="1:20" x14ac:dyDescent="0.25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 s="5">
        <f t="shared" si="24"/>
        <v>4.5947566280000007</v>
      </c>
      <c r="P294">
        <f t="shared" si="25"/>
        <v>0.9899964034607992</v>
      </c>
      <c r="Q294">
        <f t="shared" si="26"/>
        <v>1</v>
      </c>
      <c r="R294">
        <f t="shared" si="27"/>
        <v>0</v>
      </c>
      <c r="S294">
        <f t="shared" si="28"/>
        <v>0.9899964034607992</v>
      </c>
      <c r="T294">
        <f t="shared" si="29"/>
        <v>-1.0053968727979916E-2</v>
      </c>
    </row>
    <row r="295" spans="1:20" x14ac:dyDescent="0.25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 s="5">
        <f t="shared" si="24"/>
        <v>-1.7078064029999993</v>
      </c>
      <c r="P295">
        <f t="shared" si="25"/>
        <v>0.15344845188733297</v>
      </c>
      <c r="Q295">
        <f t="shared" si="26"/>
        <v>0</v>
      </c>
      <c r="R295">
        <f t="shared" si="27"/>
        <v>1</v>
      </c>
      <c r="S295">
        <f t="shared" si="28"/>
        <v>0.15344845188733297</v>
      </c>
      <c r="T295">
        <f t="shared" si="29"/>
        <v>-1.8743905866780493</v>
      </c>
    </row>
    <row r="296" spans="1:20" x14ac:dyDescent="0.25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 s="5">
        <f t="shared" si="24"/>
        <v>-3.9786911759999999</v>
      </c>
      <c r="P296">
        <f t="shared" si="25"/>
        <v>1.8366472807148253E-2</v>
      </c>
      <c r="Q296">
        <f t="shared" si="26"/>
        <v>0</v>
      </c>
      <c r="R296">
        <f t="shared" si="27"/>
        <v>0</v>
      </c>
      <c r="S296">
        <f t="shared" si="28"/>
        <v>0.9816335271928518</v>
      </c>
      <c r="T296">
        <f t="shared" si="29"/>
        <v>-1.8537230511787055E-2</v>
      </c>
    </row>
    <row r="297" spans="1:20" x14ac:dyDescent="0.25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 s="5">
        <f t="shared" si="24"/>
        <v>3.8252590270000013</v>
      </c>
      <c r="P297">
        <f t="shared" si="25"/>
        <v>0.97865285595789664</v>
      </c>
      <c r="Q297">
        <f t="shared" si="26"/>
        <v>1</v>
      </c>
      <c r="R297">
        <f t="shared" si="27"/>
        <v>0</v>
      </c>
      <c r="S297">
        <f t="shared" si="28"/>
        <v>0.97865285595789664</v>
      </c>
      <c r="T297">
        <f t="shared" si="29"/>
        <v>-2.157828977505476E-2</v>
      </c>
    </row>
    <row r="298" spans="1:20" x14ac:dyDescent="0.25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 s="5">
        <f t="shared" si="24"/>
        <v>0.67552382760000107</v>
      </c>
      <c r="P298">
        <f t="shared" si="25"/>
        <v>0.66273893102028925</v>
      </c>
      <c r="Q298">
        <f t="shared" si="26"/>
        <v>1</v>
      </c>
      <c r="R298">
        <f t="shared" si="27"/>
        <v>0</v>
      </c>
      <c r="S298">
        <f t="shared" si="28"/>
        <v>0.66273893102028925</v>
      </c>
      <c r="T298">
        <f t="shared" si="29"/>
        <v>-0.41137413554389096</v>
      </c>
    </row>
    <row r="299" spans="1:20" x14ac:dyDescent="0.25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 s="5">
        <f t="shared" si="24"/>
        <v>-1.0413356313999991</v>
      </c>
      <c r="P299">
        <f t="shared" si="25"/>
        <v>0.26089236516199499</v>
      </c>
      <c r="Q299">
        <f t="shared" si="26"/>
        <v>0</v>
      </c>
      <c r="R299">
        <f t="shared" si="27"/>
        <v>1</v>
      </c>
      <c r="S299">
        <f t="shared" si="28"/>
        <v>0.26089236516199499</v>
      </c>
      <c r="T299">
        <f t="shared" si="29"/>
        <v>-1.3436473507325861</v>
      </c>
    </row>
    <row r="300" spans="1:20" x14ac:dyDescent="0.25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 s="5">
        <f t="shared" si="24"/>
        <v>2.695345316200001</v>
      </c>
      <c r="P300">
        <f t="shared" si="25"/>
        <v>0.9367514223350133</v>
      </c>
      <c r="Q300">
        <f t="shared" si="26"/>
        <v>1</v>
      </c>
      <c r="R300">
        <f t="shared" si="27"/>
        <v>0</v>
      </c>
      <c r="S300">
        <f t="shared" si="28"/>
        <v>0.9367514223350133</v>
      </c>
      <c r="T300">
        <f t="shared" si="29"/>
        <v>-6.5337322937447873E-2</v>
      </c>
    </row>
    <row r="301" spans="1:20" x14ac:dyDescent="0.25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 s="5">
        <f t="shared" si="24"/>
        <v>2.8781094445999997</v>
      </c>
      <c r="P301">
        <f t="shared" si="25"/>
        <v>0.94675363891813047</v>
      </c>
      <c r="Q301">
        <f t="shared" si="26"/>
        <v>1</v>
      </c>
      <c r="R301">
        <f t="shared" si="27"/>
        <v>0</v>
      </c>
      <c r="S301">
        <f t="shared" si="28"/>
        <v>0.94675363891813047</v>
      </c>
      <c r="T301">
        <f t="shared" si="29"/>
        <v>-5.4716368618360933E-2</v>
      </c>
    </row>
    <row r="302" spans="1:20" x14ac:dyDescent="0.25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 s="5">
        <f t="shared" si="24"/>
        <v>-2.3889052919999996</v>
      </c>
      <c r="P302">
        <f t="shared" si="25"/>
        <v>8.4022645377674857E-2</v>
      </c>
      <c r="Q302">
        <f t="shared" si="26"/>
        <v>0</v>
      </c>
      <c r="R302">
        <f t="shared" si="27"/>
        <v>1</v>
      </c>
      <c r="S302">
        <f t="shared" si="28"/>
        <v>8.4022645377674857E-2</v>
      </c>
      <c r="T302">
        <f t="shared" si="29"/>
        <v>-2.4766689286416299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FFF0-8F5E-48F9-A9FB-582DF747F848}">
  <dimension ref="A1:T302"/>
  <sheetViews>
    <sheetView tabSelected="1" topLeftCell="A67" workbookViewId="0">
      <selection activeCell="O8" sqref="O8"/>
    </sheetView>
  </sheetViews>
  <sheetFormatPr defaultRowHeight="15" x14ac:dyDescent="0.25"/>
  <cols>
    <col min="15" max="15" width="16.140625" bestFit="1" customWidth="1"/>
    <col min="18" max="18" width="10.42578125" bestFit="1" customWidth="1"/>
    <col min="19" max="19" width="12.140625" bestFit="1" customWidth="1"/>
  </cols>
  <sheetData>
    <row r="1" spans="1:20" x14ac:dyDescent="0.25">
      <c r="A1" s="4">
        <v>13</v>
      </c>
      <c r="B1" s="4">
        <v>12</v>
      </c>
      <c r="C1" s="4">
        <v>11</v>
      </c>
      <c r="D1" s="4">
        <v>10</v>
      </c>
      <c r="E1" s="4">
        <v>9</v>
      </c>
      <c r="F1" s="4">
        <v>8</v>
      </c>
      <c r="G1" s="4">
        <v>7</v>
      </c>
      <c r="H1" s="4">
        <v>6</v>
      </c>
      <c r="I1" s="4">
        <v>5</v>
      </c>
      <c r="J1" s="4">
        <v>4</v>
      </c>
      <c r="K1" s="4">
        <v>3</v>
      </c>
      <c r="L1" s="4">
        <v>2</v>
      </c>
      <c r="M1" s="4">
        <v>1</v>
      </c>
      <c r="N1" s="9">
        <v>14</v>
      </c>
      <c r="O1" s="9"/>
      <c r="P1" s="4"/>
      <c r="Q1" s="4"/>
      <c r="R1" s="4"/>
      <c r="S1" s="4" t="s">
        <v>51</v>
      </c>
      <c r="T1" s="4">
        <f>SUM(T6:T302)</f>
        <v>102.34435193439522</v>
      </c>
    </row>
    <row r="2" spans="1:20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9" t="s">
        <v>29</v>
      </c>
      <c r="O2" s="9"/>
      <c r="P2" s="4"/>
      <c r="Q2" s="4"/>
      <c r="R2" s="4"/>
      <c r="S2" s="4"/>
      <c r="T2" s="4"/>
    </row>
    <row r="3" spans="1:20" x14ac:dyDescent="0.25">
      <c r="A3" s="4">
        <f>INDEX(LINEST($N6:$N302, $A6:$M302), 1, A1)</f>
        <v>-1.2282046886227082E-3</v>
      </c>
      <c r="B3" s="4">
        <f t="shared" ref="B3:N3" si="0">INDEX(LINEST($N6:$N302, $A6:$M302), 1, B1)</f>
        <v>0.14569183178559117</v>
      </c>
      <c r="C3" s="4">
        <f t="shared" si="0"/>
        <v>8.2763232670012954E-2</v>
      </c>
      <c r="D3" s="4">
        <f t="shared" si="0"/>
        <v>2.1361741326654002E-3</v>
      </c>
      <c r="E3" s="4">
        <f t="shared" si="0"/>
        <v>3.5489886662413598E-4</v>
      </c>
      <c r="F3" s="4">
        <f t="shared" si="0"/>
        <v>-9.8238291337493358E-2</v>
      </c>
      <c r="G3" s="4">
        <f t="shared" si="0"/>
        <v>3.2657706415573695E-2</v>
      </c>
      <c r="H3" s="4">
        <f t="shared" si="0"/>
        <v>-2.6261953083474886E-3</v>
      </c>
      <c r="I3" s="4">
        <f t="shared" si="0"/>
        <v>0.13475306416630087</v>
      </c>
      <c r="J3" s="4">
        <f t="shared" si="0"/>
        <v>3.2428048493887404E-2</v>
      </c>
      <c r="K3" s="4">
        <f t="shared" si="0"/>
        <v>6.1034589201354329E-2</v>
      </c>
      <c r="L3" s="4">
        <f t="shared" si="0"/>
        <v>0.14319872425029184</v>
      </c>
      <c r="M3" s="4">
        <f t="shared" si="0"/>
        <v>6.062366153011442E-2</v>
      </c>
      <c r="N3" s="4">
        <f t="shared" si="0"/>
        <v>-0.38603111349955122</v>
      </c>
      <c r="O3" s="9"/>
      <c r="P3" s="4"/>
      <c r="Q3" s="4" t="s">
        <v>37</v>
      </c>
      <c r="R3" s="4">
        <f>SUM(R6:R302)</f>
        <v>45</v>
      </c>
      <c r="S3" s="4"/>
      <c r="T3" s="4"/>
    </row>
    <row r="4" spans="1:20" x14ac:dyDescent="0.25">
      <c r="A4" s="4">
        <v>-1.4160183999999999E-2</v>
      </c>
      <c r="B4" s="4">
        <v>1.3121170499999999</v>
      </c>
      <c r="C4" s="4">
        <v>0.57591599199999999</v>
      </c>
      <c r="D4" s="4">
        <v>2.4044639999999999E-2</v>
      </c>
      <c r="E4" s="4">
        <v>4.9954860000000004E-3</v>
      </c>
      <c r="F4" s="4">
        <v>-1.0219373810000001</v>
      </c>
      <c r="G4" s="4">
        <v>0.245152495</v>
      </c>
      <c r="H4" s="4">
        <v>-2.0663905E-2</v>
      </c>
      <c r="I4" s="4">
        <v>0.92611808200000001</v>
      </c>
      <c r="J4" s="4">
        <v>0.247385508</v>
      </c>
      <c r="K4" s="4">
        <v>0.57003817499999998</v>
      </c>
      <c r="L4" s="4">
        <v>1.2677216790000001</v>
      </c>
      <c r="M4" s="4">
        <v>0.343936409</v>
      </c>
      <c r="N4" s="9">
        <v>-7.3727374599999997</v>
      </c>
      <c r="O4" s="9"/>
      <c r="P4" s="4"/>
      <c r="Q4" s="4"/>
      <c r="R4" s="4"/>
      <c r="S4" s="4"/>
      <c r="T4" s="4"/>
    </row>
    <row r="5" spans="1:20" x14ac:dyDescent="0.25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10" t="s">
        <v>13</v>
      </c>
      <c r="O5" s="8" t="s">
        <v>30</v>
      </c>
      <c r="P5" s="8" t="s">
        <v>31</v>
      </c>
      <c r="Q5" s="8" t="s">
        <v>32</v>
      </c>
      <c r="R5" s="8" t="s">
        <v>33</v>
      </c>
      <c r="S5" s="8" t="s">
        <v>34</v>
      </c>
      <c r="T5" s="8" t="s">
        <v>52</v>
      </c>
    </row>
    <row r="6" spans="1:20" x14ac:dyDescent="0.25">
      <c r="A6" s="4">
        <v>63</v>
      </c>
      <c r="B6" s="4">
        <v>1</v>
      </c>
      <c r="C6" s="4">
        <v>1</v>
      </c>
      <c r="D6" s="4">
        <v>145</v>
      </c>
      <c r="E6" s="4">
        <v>233</v>
      </c>
      <c r="F6" s="4">
        <v>1</v>
      </c>
      <c r="G6" s="4">
        <v>2</v>
      </c>
      <c r="H6" s="4">
        <v>150</v>
      </c>
      <c r="I6" s="4">
        <v>0</v>
      </c>
      <c r="J6" s="4">
        <v>2.2999999999999998</v>
      </c>
      <c r="K6" s="4">
        <v>3</v>
      </c>
      <c r="L6" s="4">
        <v>0</v>
      </c>
      <c r="M6" s="4">
        <v>6</v>
      </c>
      <c r="N6" s="4">
        <v>0</v>
      </c>
      <c r="O6" s="4">
        <f>SUMPRODUCT(A$4:M$4, A6:M6)+N$4</f>
        <v>-1.0148734656</v>
      </c>
      <c r="P6" s="4">
        <f>1/(1+EXP(0-O6))</f>
        <v>0.26602718943936926</v>
      </c>
      <c r="Q6" s="4">
        <f>IF(P6&lt;=0.5, 0, 1)</f>
        <v>0</v>
      </c>
      <c r="R6" s="4">
        <f>IF(N6=Q6, 0, 1)</f>
        <v>0</v>
      </c>
      <c r="S6" s="4">
        <f>IF(N6=1, P6, 1-P6)</f>
        <v>0.73397281056063068</v>
      </c>
      <c r="T6" s="4">
        <f>IF(S6=0, 1000000, -LN(S6))</f>
        <v>0.30928329388665238</v>
      </c>
    </row>
    <row r="7" spans="1:20" x14ac:dyDescent="0.25">
      <c r="A7" s="4">
        <v>67</v>
      </c>
      <c r="B7" s="4">
        <v>1</v>
      </c>
      <c r="C7" s="4">
        <v>4</v>
      </c>
      <c r="D7" s="4">
        <v>160</v>
      </c>
      <c r="E7" s="4">
        <v>286</v>
      </c>
      <c r="F7" s="4">
        <v>0</v>
      </c>
      <c r="G7" s="4">
        <v>2</v>
      </c>
      <c r="H7" s="4">
        <v>108</v>
      </c>
      <c r="I7" s="4">
        <v>1</v>
      </c>
      <c r="J7" s="4">
        <v>1.5</v>
      </c>
      <c r="K7" s="4">
        <v>2</v>
      </c>
      <c r="L7" s="4">
        <v>3</v>
      </c>
      <c r="M7" s="4">
        <v>3</v>
      </c>
      <c r="N7" s="4">
        <v>1</v>
      </c>
      <c r="O7" s="4">
        <f t="shared" ref="O7:O70" si="1">SUMPRODUCT(A$4:M$4, A7:M7)+N$4</f>
        <v>6.1010128340000023</v>
      </c>
      <c r="P7" s="4">
        <f t="shared" ref="P7:P70" si="2">1/(1+EXP(0-O7))</f>
        <v>0.99776441183580133</v>
      </c>
      <c r="Q7" s="4">
        <f t="shared" ref="Q7:Q70" si="3">IF(P7&lt;=0.5, 0, 1)</f>
        <v>1</v>
      </c>
      <c r="R7" s="4">
        <f t="shared" ref="R7:R70" si="4">IF(N7=Q7, 0, 1)</f>
        <v>0</v>
      </c>
      <c r="S7" s="4">
        <f t="shared" ref="S7:S70" si="5">IF(N7=1, P7, 1-P7)</f>
        <v>0.99776441183580133</v>
      </c>
      <c r="T7" s="4">
        <f t="shared" ref="T7:T70" si="6">IF(S7=0, 1000000, -LN(S7))</f>
        <v>2.2380908220558551E-3</v>
      </c>
    </row>
    <row r="8" spans="1:20" x14ac:dyDescent="0.25">
      <c r="A8" s="4">
        <v>67</v>
      </c>
      <c r="B8" s="4">
        <v>1</v>
      </c>
      <c r="C8" s="4">
        <v>4</v>
      </c>
      <c r="D8" s="4">
        <v>120</v>
      </c>
      <c r="E8" s="4">
        <v>229</v>
      </c>
      <c r="F8" s="4">
        <v>0</v>
      </c>
      <c r="G8" s="4">
        <v>2</v>
      </c>
      <c r="H8" s="4">
        <v>129</v>
      </c>
      <c r="I8" s="4">
        <v>1</v>
      </c>
      <c r="J8" s="4">
        <v>2.6</v>
      </c>
      <c r="K8" s="4">
        <v>2</v>
      </c>
      <c r="L8" s="4">
        <v>2</v>
      </c>
      <c r="M8" s="4">
        <v>7</v>
      </c>
      <c r="N8" s="4">
        <v>1</v>
      </c>
      <c r="O8" s="4">
        <f t="shared" si="1"/>
        <v>4.8006905428</v>
      </c>
      <c r="P8" s="4">
        <f t="shared" si="2"/>
        <v>0.99184301754405402</v>
      </c>
      <c r="Q8" s="4">
        <f t="shared" si="3"/>
        <v>1</v>
      </c>
      <c r="R8" s="4">
        <f t="shared" si="4"/>
        <v>0</v>
      </c>
      <c r="S8" s="4">
        <f t="shared" si="5"/>
        <v>0.99184301754405402</v>
      </c>
      <c r="T8" s="4">
        <f t="shared" si="6"/>
        <v>8.1904326633642673E-3</v>
      </c>
    </row>
    <row r="9" spans="1:20" x14ac:dyDescent="0.25">
      <c r="A9" s="4">
        <v>37</v>
      </c>
      <c r="B9" s="4">
        <v>1</v>
      </c>
      <c r="C9" s="4">
        <v>3</v>
      </c>
      <c r="D9" s="4">
        <v>130</v>
      </c>
      <c r="E9" s="4">
        <v>250</v>
      </c>
      <c r="F9" s="4">
        <v>0</v>
      </c>
      <c r="G9" s="4">
        <v>0</v>
      </c>
      <c r="H9" s="4">
        <v>187</v>
      </c>
      <c r="I9" s="4">
        <v>0</v>
      </c>
      <c r="J9" s="4">
        <v>3.5</v>
      </c>
      <c r="K9" s="4">
        <v>3</v>
      </c>
      <c r="L9" s="4">
        <v>0</v>
      </c>
      <c r="M9" s="4">
        <v>3</v>
      </c>
      <c r="N9" s="4">
        <v>0</v>
      </c>
      <c r="O9" s="4">
        <f t="shared" si="1"/>
        <v>-0.73850174699999993</v>
      </c>
      <c r="P9" s="4">
        <f t="shared" si="2"/>
        <v>0.32333185728425623</v>
      </c>
      <c r="Q9" s="4">
        <f t="shared" si="3"/>
        <v>0</v>
      </c>
      <c r="R9" s="4">
        <f t="shared" si="4"/>
        <v>0</v>
      </c>
      <c r="S9" s="4">
        <f t="shared" si="5"/>
        <v>0.67666814271574371</v>
      </c>
      <c r="T9" s="4">
        <f t="shared" si="6"/>
        <v>0.39057431426347705</v>
      </c>
    </row>
    <row r="10" spans="1:20" x14ac:dyDescent="0.25">
      <c r="A10" s="4">
        <v>41</v>
      </c>
      <c r="B10" s="4">
        <v>0</v>
      </c>
      <c r="C10" s="4">
        <v>2</v>
      </c>
      <c r="D10" s="4">
        <v>130</v>
      </c>
      <c r="E10" s="4">
        <v>204</v>
      </c>
      <c r="F10" s="4">
        <v>0</v>
      </c>
      <c r="G10" s="4">
        <v>2</v>
      </c>
      <c r="H10" s="4">
        <v>172</v>
      </c>
      <c r="I10" s="4">
        <v>0</v>
      </c>
      <c r="J10" s="4">
        <v>1.4</v>
      </c>
      <c r="K10" s="4">
        <v>1</v>
      </c>
      <c r="L10" s="4">
        <v>0</v>
      </c>
      <c r="M10" s="4">
        <v>3</v>
      </c>
      <c r="N10" s="4">
        <v>0</v>
      </c>
      <c r="O10" s="4">
        <f t="shared" si="1"/>
        <v>-3.7722902327999992</v>
      </c>
      <c r="P10" s="4">
        <f t="shared" si="2"/>
        <v>2.2482252383989074E-2</v>
      </c>
      <c r="Q10" s="4">
        <f t="shared" si="3"/>
        <v>0</v>
      </c>
      <c r="R10" s="4">
        <f t="shared" si="4"/>
        <v>0</v>
      </c>
      <c r="S10" s="4">
        <f t="shared" si="5"/>
        <v>0.97751774761601096</v>
      </c>
      <c r="T10" s="4">
        <f t="shared" si="6"/>
        <v>2.2738831158525263E-2</v>
      </c>
    </row>
    <row r="11" spans="1:20" x14ac:dyDescent="0.25">
      <c r="A11" s="4">
        <v>56</v>
      </c>
      <c r="B11" s="4">
        <v>1</v>
      </c>
      <c r="C11" s="4">
        <v>2</v>
      </c>
      <c r="D11" s="4">
        <v>120</v>
      </c>
      <c r="E11" s="4">
        <v>236</v>
      </c>
      <c r="F11" s="4">
        <v>0</v>
      </c>
      <c r="G11" s="4">
        <v>0</v>
      </c>
      <c r="H11" s="4">
        <v>178</v>
      </c>
      <c r="I11" s="4">
        <v>0</v>
      </c>
      <c r="J11" s="4">
        <v>0.8</v>
      </c>
      <c r="K11" s="4">
        <v>1</v>
      </c>
      <c r="L11" s="4">
        <v>0</v>
      </c>
      <c r="M11" s="4">
        <v>3</v>
      </c>
      <c r="N11" s="4">
        <v>0</v>
      </c>
      <c r="O11" s="4">
        <f t="shared" si="1"/>
        <v>-3.5158865155999997</v>
      </c>
      <c r="P11" s="4">
        <f t="shared" si="2"/>
        <v>2.8863575637956666E-2</v>
      </c>
      <c r="Q11" s="4">
        <f t="shared" si="3"/>
        <v>0</v>
      </c>
      <c r="R11" s="4">
        <f t="shared" si="4"/>
        <v>0</v>
      </c>
      <c r="S11" s="4">
        <f t="shared" si="5"/>
        <v>0.97113642436204328</v>
      </c>
      <c r="T11" s="4">
        <f t="shared" si="6"/>
        <v>2.9288321731791168E-2</v>
      </c>
    </row>
    <row r="12" spans="1:20" x14ac:dyDescent="0.25">
      <c r="A12" s="4">
        <v>62</v>
      </c>
      <c r="B12" s="4">
        <v>0</v>
      </c>
      <c r="C12" s="4">
        <v>4</v>
      </c>
      <c r="D12" s="4">
        <v>140</v>
      </c>
      <c r="E12" s="4">
        <v>268</v>
      </c>
      <c r="F12" s="4">
        <v>0</v>
      </c>
      <c r="G12" s="4">
        <v>2</v>
      </c>
      <c r="H12" s="4">
        <v>160</v>
      </c>
      <c r="I12" s="4">
        <v>0</v>
      </c>
      <c r="J12" s="4">
        <v>3.6</v>
      </c>
      <c r="K12" s="4">
        <v>3</v>
      </c>
      <c r="L12" s="4">
        <v>2</v>
      </c>
      <c r="M12" s="4">
        <v>3</v>
      </c>
      <c r="N12" s="4">
        <v>1</v>
      </c>
      <c r="O12" s="4">
        <f t="shared" si="1"/>
        <v>2.1100700768000014</v>
      </c>
      <c r="P12" s="4">
        <f t="shared" si="2"/>
        <v>0.89187809103884097</v>
      </c>
      <c r="Q12" s="4">
        <f t="shared" si="3"/>
        <v>1</v>
      </c>
      <c r="R12" s="4">
        <f t="shared" si="4"/>
        <v>0</v>
      </c>
      <c r="S12" s="4">
        <f t="shared" si="5"/>
        <v>0.89187809103884097</v>
      </c>
      <c r="T12" s="4">
        <f t="shared" si="6"/>
        <v>0.11442582498118666</v>
      </c>
    </row>
    <row r="13" spans="1:20" x14ac:dyDescent="0.25">
      <c r="A13" s="4">
        <v>57</v>
      </c>
      <c r="B13" s="4">
        <v>0</v>
      </c>
      <c r="C13" s="4">
        <v>4</v>
      </c>
      <c r="D13" s="4">
        <v>120</v>
      </c>
      <c r="E13" s="4">
        <v>354</v>
      </c>
      <c r="F13" s="4">
        <v>0</v>
      </c>
      <c r="G13" s="4">
        <v>0</v>
      </c>
      <c r="H13" s="4">
        <v>163</v>
      </c>
      <c r="I13" s="4">
        <v>1</v>
      </c>
      <c r="J13" s="4">
        <v>0.6</v>
      </c>
      <c r="K13" s="4">
        <v>1</v>
      </c>
      <c r="L13" s="4">
        <v>0</v>
      </c>
      <c r="M13" s="4">
        <v>3</v>
      </c>
      <c r="N13" s="4">
        <v>0</v>
      </c>
      <c r="O13" s="4">
        <f t="shared" si="1"/>
        <v>-1.9142648621999996</v>
      </c>
      <c r="P13" s="4">
        <f t="shared" si="2"/>
        <v>0.12850247477318877</v>
      </c>
      <c r="Q13" s="4">
        <f t="shared" si="3"/>
        <v>0</v>
      </c>
      <c r="R13" s="4">
        <f t="shared" si="4"/>
        <v>0</v>
      </c>
      <c r="S13" s="4">
        <f t="shared" si="5"/>
        <v>0.87149752522681123</v>
      </c>
      <c r="T13" s="4">
        <f t="shared" si="6"/>
        <v>0.13754225369699263</v>
      </c>
    </row>
    <row r="14" spans="1:20" x14ac:dyDescent="0.25">
      <c r="A14" s="4">
        <v>63</v>
      </c>
      <c r="B14" s="4">
        <v>1</v>
      </c>
      <c r="C14" s="4">
        <v>4</v>
      </c>
      <c r="D14" s="4">
        <v>130</v>
      </c>
      <c r="E14" s="4">
        <v>254</v>
      </c>
      <c r="F14" s="4">
        <v>0</v>
      </c>
      <c r="G14" s="4">
        <v>2</v>
      </c>
      <c r="H14" s="4">
        <v>147</v>
      </c>
      <c r="I14" s="4">
        <v>0</v>
      </c>
      <c r="J14" s="4">
        <v>1.4</v>
      </c>
      <c r="K14" s="4">
        <v>2</v>
      </c>
      <c r="L14" s="4">
        <v>1</v>
      </c>
      <c r="M14" s="4">
        <v>7</v>
      </c>
      <c r="N14" s="4">
        <v>1</v>
      </c>
      <c r="O14" s="4">
        <f t="shared" si="1"/>
        <v>2.3600121682000008</v>
      </c>
      <c r="P14" s="4">
        <f t="shared" si="2"/>
        <v>0.91372676473011583</v>
      </c>
      <c r="Q14" s="4">
        <f t="shared" si="3"/>
        <v>1</v>
      </c>
      <c r="R14" s="4">
        <f t="shared" si="4"/>
        <v>0</v>
      </c>
      <c r="S14" s="4">
        <f t="shared" si="5"/>
        <v>0.91372676473011583</v>
      </c>
      <c r="T14" s="4">
        <f t="shared" si="6"/>
        <v>9.0223696717391402E-2</v>
      </c>
    </row>
    <row r="15" spans="1:20" x14ac:dyDescent="0.25">
      <c r="A15" s="4">
        <v>53</v>
      </c>
      <c r="B15" s="4">
        <v>1</v>
      </c>
      <c r="C15" s="4">
        <v>4</v>
      </c>
      <c r="D15" s="4">
        <v>140</v>
      </c>
      <c r="E15" s="4">
        <v>203</v>
      </c>
      <c r="F15" s="4">
        <v>1</v>
      </c>
      <c r="G15" s="4">
        <v>2</v>
      </c>
      <c r="H15" s="4">
        <v>155</v>
      </c>
      <c r="I15" s="4">
        <v>1</v>
      </c>
      <c r="J15" s="4">
        <v>3.1</v>
      </c>
      <c r="K15" s="4">
        <v>3</v>
      </c>
      <c r="L15" s="4">
        <v>0</v>
      </c>
      <c r="M15" s="4">
        <v>7</v>
      </c>
      <c r="N15" s="4">
        <v>1</v>
      </c>
      <c r="O15" s="4">
        <f t="shared" si="1"/>
        <v>1.9490319428000014</v>
      </c>
      <c r="P15" s="4">
        <f t="shared" si="2"/>
        <v>0.87534104665985146</v>
      </c>
      <c r="Q15" s="4">
        <f t="shared" si="3"/>
        <v>1</v>
      </c>
      <c r="R15" s="4">
        <f t="shared" si="4"/>
        <v>0</v>
      </c>
      <c r="S15" s="4">
        <f t="shared" si="5"/>
        <v>0.87534104665985146</v>
      </c>
      <c r="T15" s="4">
        <f t="shared" si="6"/>
        <v>0.13314170095292729</v>
      </c>
    </row>
    <row r="16" spans="1:20" x14ac:dyDescent="0.25">
      <c r="A16" s="4">
        <v>57</v>
      </c>
      <c r="B16" s="4">
        <v>1</v>
      </c>
      <c r="C16" s="4">
        <v>4</v>
      </c>
      <c r="D16" s="4">
        <v>140</v>
      </c>
      <c r="E16" s="4">
        <v>192</v>
      </c>
      <c r="F16" s="4">
        <v>0</v>
      </c>
      <c r="G16" s="4">
        <v>0</v>
      </c>
      <c r="H16" s="4">
        <v>148</v>
      </c>
      <c r="I16" s="4">
        <v>0</v>
      </c>
      <c r="J16" s="4">
        <v>0.4</v>
      </c>
      <c r="K16" s="4">
        <v>2</v>
      </c>
      <c r="L16" s="4">
        <v>0</v>
      </c>
      <c r="M16" s="4">
        <v>6</v>
      </c>
      <c r="N16" s="4">
        <v>0</v>
      </c>
      <c r="O16" s="4">
        <f t="shared" si="1"/>
        <v>5.6870492000005157E-3</v>
      </c>
      <c r="P16" s="4">
        <f t="shared" si="2"/>
        <v>0.50142175846806347</v>
      </c>
      <c r="Q16" s="4">
        <f t="shared" si="3"/>
        <v>1</v>
      </c>
      <c r="R16" s="4">
        <f t="shared" si="4"/>
        <v>1</v>
      </c>
      <c r="S16" s="4">
        <f t="shared" si="5"/>
        <v>0.49857824153193653</v>
      </c>
      <c r="T16" s="4">
        <f t="shared" si="6"/>
        <v>0.6959947479705727</v>
      </c>
    </row>
    <row r="17" spans="1:20" x14ac:dyDescent="0.25">
      <c r="A17" s="4">
        <v>56</v>
      </c>
      <c r="B17" s="4">
        <v>0</v>
      </c>
      <c r="C17" s="4">
        <v>2</v>
      </c>
      <c r="D17" s="4">
        <v>140</v>
      </c>
      <c r="E17" s="4">
        <v>294</v>
      </c>
      <c r="F17" s="4">
        <v>0</v>
      </c>
      <c r="G17" s="4">
        <v>2</v>
      </c>
      <c r="H17" s="4">
        <v>153</v>
      </c>
      <c r="I17" s="4">
        <v>0</v>
      </c>
      <c r="J17" s="4">
        <v>1.3</v>
      </c>
      <c r="K17" s="4">
        <v>2</v>
      </c>
      <c r="L17" s="4">
        <v>0</v>
      </c>
      <c r="M17" s="4">
        <v>3</v>
      </c>
      <c r="N17" s="4">
        <v>0</v>
      </c>
      <c r="O17" s="4">
        <f t="shared" si="1"/>
        <v>-2.3567390335999994</v>
      </c>
      <c r="P17" s="4">
        <f t="shared" si="2"/>
        <v>8.6531606659247862E-2</v>
      </c>
      <c r="Q17" s="4">
        <f t="shared" si="3"/>
        <v>0</v>
      </c>
      <c r="R17" s="4">
        <f t="shared" si="4"/>
        <v>0</v>
      </c>
      <c r="S17" s="4">
        <f t="shared" si="5"/>
        <v>0.91346839334075214</v>
      </c>
      <c r="T17" s="4">
        <f t="shared" si="6"/>
        <v>9.0506503280165476E-2</v>
      </c>
    </row>
    <row r="18" spans="1:20" x14ac:dyDescent="0.25">
      <c r="A18" s="4">
        <v>56</v>
      </c>
      <c r="B18" s="4">
        <v>1</v>
      </c>
      <c r="C18" s="4">
        <v>3</v>
      </c>
      <c r="D18" s="4">
        <v>130</v>
      </c>
      <c r="E18" s="4">
        <v>256</v>
      </c>
      <c r="F18" s="4">
        <v>1</v>
      </c>
      <c r="G18" s="4">
        <v>2</v>
      </c>
      <c r="H18" s="4">
        <v>142</v>
      </c>
      <c r="I18" s="4">
        <v>1</v>
      </c>
      <c r="J18" s="4">
        <v>0.6</v>
      </c>
      <c r="K18" s="4">
        <v>2</v>
      </c>
      <c r="L18" s="4">
        <v>1</v>
      </c>
      <c r="M18" s="4">
        <v>6</v>
      </c>
      <c r="N18" s="4">
        <v>1</v>
      </c>
      <c r="O18" s="4">
        <f t="shared" si="1"/>
        <v>1.3588638468000021</v>
      </c>
      <c r="P18" s="4">
        <f t="shared" si="2"/>
        <v>0.79557498100214519</v>
      </c>
      <c r="Q18" s="4">
        <f t="shared" si="3"/>
        <v>1</v>
      </c>
      <c r="R18" s="4">
        <f t="shared" si="4"/>
        <v>0</v>
      </c>
      <c r="S18" s="4">
        <f t="shared" si="5"/>
        <v>0.79557498100214519</v>
      </c>
      <c r="T18" s="4">
        <f t="shared" si="6"/>
        <v>0.22869017920096946</v>
      </c>
    </row>
    <row r="19" spans="1:20" x14ac:dyDescent="0.25">
      <c r="A19" s="4">
        <v>44</v>
      </c>
      <c r="B19" s="4">
        <v>1</v>
      </c>
      <c r="C19" s="4">
        <v>2</v>
      </c>
      <c r="D19" s="4">
        <v>120</v>
      </c>
      <c r="E19" s="4">
        <v>263</v>
      </c>
      <c r="F19" s="4">
        <v>0</v>
      </c>
      <c r="G19" s="4">
        <v>0</v>
      </c>
      <c r="H19" s="4">
        <v>173</v>
      </c>
      <c r="I19" s="4">
        <v>0</v>
      </c>
      <c r="J19" s="4">
        <v>0</v>
      </c>
      <c r="K19" s="4">
        <v>1</v>
      </c>
      <c r="L19" s="4">
        <v>0</v>
      </c>
      <c r="M19" s="4">
        <v>7</v>
      </c>
      <c r="N19" s="4">
        <v>0</v>
      </c>
      <c r="O19" s="4">
        <f t="shared" si="1"/>
        <v>-1.9299294309999997</v>
      </c>
      <c r="P19" s="4">
        <f t="shared" si="2"/>
        <v>0.12675839124851199</v>
      </c>
      <c r="Q19" s="4">
        <f t="shared" si="3"/>
        <v>0</v>
      </c>
      <c r="R19" s="4">
        <f t="shared" si="4"/>
        <v>0</v>
      </c>
      <c r="S19" s="4">
        <f t="shared" si="5"/>
        <v>0.87324160875148804</v>
      </c>
      <c r="T19" s="4">
        <f t="shared" si="6"/>
        <v>0.13554300455809737</v>
      </c>
    </row>
    <row r="20" spans="1:20" x14ac:dyDescent="0.25">
      <c r="A20" s="4">
        <v>52</v>
      </c>
      <c r="B20" s="4">
        <v>1</v>
      </c>
      <c r="C20" s="4">
        <v>3</v>
      </c>
      <c r="D20" s="4">
        <v>172</v>
      </c>
      <c r="E20" s="4">
        <v>199</v>
      </c>
      <c r="F20" s="4">
        <v>1</v>
      </c>
      <c r="G20" s="4">
        <v>0</v>
      </c>
      <c r="H20" s="4">
        <v>162</v>
      </c>
      <c r="I20" s="4">
        <v>0</v>
      </c>
      <c r="J20" s="4">
        <v>0.5</v>
      </c>
      <c r="K20" s="4">
        <v>1</v>
      </c>
      <c r="L20" s="4">
        <v>0</v>
      </c>
      <c r="M20" s="4">
        <v>7</v>
      </c>
      <c r="N20" s="4">
        <v>0</v>
      </c>
      <c r="O20" s="4">
        <f t="shared" si="1"/>
        <v>-1.2076264069999993</v>
      </c>
      <c r="P20" s="4">
        <f t="shared" si="2"/>
        <v>0.2301213003127022</v>
      </c>
      <c r="Q20" s="4">
        <f t="shared" si="3"/>
        <v>0</v>
      </c>
      <c r="R20" s="4">
        <f t="shared" si="4"/>
        <v>0</v>
      </c>
      <c r="S20" s="4">
        <f t="shared" si="5"/>
        <v>0.76987869968729783</v>
      </c>
      <c r="T20" s="4">
        <f t="shared" si="6"/>
        <v>0.26152230941765314</v>
      </c>
    </row>
    <row r="21" spans="1:20" x14ac:dyDescent="0.25">
      <c r="A21" s="4">
        <v>57</v>
      </c>
      <c r="B21" s="4">
        <v>1</v>
      </c>
      <c r="C21" s="4">
        <v>3</v>
      </c>
      <c r="D21" s="4">
        <v>150</v>
      </c>
      <c r="E21" s="4">
        <v>168</v>
      </c>
      <c r="F21" s="4">
        <v>0</v>
      </c>
      <c r="G21" s="4">
        <v>0</v>
      </c>
      <c r="H21" s="4">
        <v>174</v>
      </c>
      <c r="I21" s="4">
        <v>0</v>
      </c>
      <c r="J21" s="4">
        <v>1.6</v>
      </c>
      <c r="K21" s="4">
        <v>1</v>
      </c>
      <c r="L21" s="4">
        <v>0</v>
      </c>
      <c r="M21" s="4">
        <v>3</v>
      </c>
      <c r="N21" s="4">
        <v>0</v>
      </c>
      <c r="O21" s="4">
        <f t="shared" si="1"/>
        <v>-2.2919205291999996</v>
      </c>
      <c r="P21" s="4">
        <f t="shared" si="2"/>
        <v>9.1794313455560272E-2</v>
      </c>
      <c r="Q21" s="4">
        <f t="shared" si="3"/>
        <v>0</v>
      </c>
      <c r="R21" s="4">
        <f t="shared" si="4"/>
        <v>0</v>
      </c>
      <c r="S21" s="4">
        <f t="shared" si="5"/>
        <v>0.90820568654443967</v>
      </c>
      <c r="T21" s="4">
        <f t="shared" si="6"/>
        <v>9.628439900289644E-2</v>
      </c>
    </row>
    <row r="22" spans="1:20" x14ac:dyDescent="0.25">
      <c r="A22" s="4">
        <v>48</v>
      </c>
      <c r="B22" s="4">
        <v>1</v>
      </c>
      <c r="C22" s="4">
        <v>2</v>
      </c>
      <c r="D22" s="4">
        <v>110</v>
      </c>
      <c r="E22" s="4">
        <v>229</v>
      </c>
      <c r="F22" s="4">
        <v>0</v>
      </c>
      <c r="G22" s="4">
        <v>0</v>
      </c>
      <c r="H22" s="4">
        <v>168</v>
      </c>
      <c r="I22" s="4">
        <v>0</v>
      </c>
      <c r="J22" s="4">
        <v>1</v>
      </c>
      <c r="K22" s="4">
        <v>3</v>
      </c>
      <c r="L22" s="4">
        <v>0</v>
      </c>
      <c r="M22" s="4">
        <v>7</v>
      </c>
      <c r="N22" s="4">
        <v>1</v>
      </c>
      <c r="O22" s="4">
        <f t="shared" si="1"/>
        <v>-0.90608170800000032</v>
      </c>
      <c r="P22" s="4">
        <f t="shared" si="2"/>
        <v>0.28780230970057641</v>
      </c>
      <c r="Q22" s="4">
        <f t="shared" si="3"/>
        <v>0</v>
      </c>
      <c r="R22" s="4">
        <f t="shared" si="4"/>
        <v>1</v>
      </c>
      <c r="S22" s="4">
        <f t="shared" si="5"/>
        <v>0.28780230970057641</v>
      </c>
      <c r="T22" s="4">
        <f t="shared" si="6"/>
        <v>1.2454814591942331</v>
      </c>
    </row>
    <row r="23" spans="1:20" x14ac:dyDescent="0.25">
      <c r="A23" s="4">
        <v>54</v>
      </c>
      <c r="B23" s="4">
        <v>1</v>
      </c>
      <c r="C23" s="4">
        <v>4</v>
      </c>
      <c r="D23" s="4">
        <v>140</v>
      </c>
      <c r="E23" s="4">
        <v>239</v>
      </c>
      <c r="F23" s="4">
        <v>0</v>
      </c>
      <c r="G23" s="4">
        <v>0</v>
      </c>
      <c r="H23" s="4">
        <v>160</v>
      </c>
      <c r="I23" s="4">
        <v>0</v>
      </c>
      <c r="J23" s="4">
        <v>1.2</v>
      </c>
      <c r="K23" s="4">
        <v>1</v>
      </c>
      <c r="L23" s="4">
        <v>0</v>
      </c>
      <c r="M23" s="4">
        <v>3</v>
      </c>
      <c r="N23" s="4">
        <v>0</v>
      </c>
      <c r="O23" s="4">
        <f t="shared" si="1"/>
        <v>-1.3689504124000003</v>
      </c>
      <c r="P23" s="4">
        <f t="shared" si="2"/>
        <v>0.20278947602850639</v>
      </c>
      <c r="Q23" s="4">
        <f t="shared" si="3"/>
        <v>0</v>
      </c>
      <c r="R23" s="4">
        <f t="shared" si="4"/>
        <v>0</v>
      </c>
      <c r="S23" s="4">
        <f t="shared" si="5"/>
        <v>0.79721052397149361</v>
      </c>
      <c r="T23" s="4">
        <f t="shared" si="6"/>
        <v>0.22663648956217544</v>
      </c>
    </row>
    <row r="24" spans="1:20" x14ac:dyDescent="0.25">
      <c r="A24" s="4">
        <v>48</v>
      </c>
      <c r="B24" s="4">
        <v>0</v>
      </c>
      <c r="C24" s="4">
        <v>3</v>
      </c>
      <c r="D24" s="4">
        <v>130</v>
      </c>
      <c r="E24" s="4">
        <v>275</v>
      </c>
      <c r="F24" s="4">
        <v>0</v>
      </c>
      <c r="G24" s="4">
        <v>0</v>
      </c>
      <c r="H24" s="4">
        <v>139</v>
      </c>
      <c r="I24" s="4">
        <v>0</v>
      </c>
      <c r="J24" s="4">
        <v>0.2</v>
      </c>
      <c r="K24" s="4">
        <v>1</v>
      </c>
      <c r="L24" s="4">
        <v>0</v>
      </c>
      <c r="M24" s="4">
        <v>3</v>
      </c>
      <c r="N24" s="4">
        <v>0</v>
      </c>
      <c r="O24" s="4">
        <f t="shared" si="1"/>
        <v>-3.0460747573999996</v>
      </c>
      <c r="P24" s="4">
        <f t="shared" si="2"/>
        <v>4.5387240245366688E-2</v>
      </c>
      <c r="Q24" s="4">
        <f t="shared" si="3"/>
        <v>0</v>
      </c>
      <c r="R24" s="4">
        <f t="shared" si="4"/>
        <v>0</v>
      </c>
      <c r="S24" s="4">
        <f t="shared" si="5"/>
        <v>0.95461275975463333</v>
      </c>
      <c r="T24" s="4">
        <f t="shared" si="6"/>
        <v>4.6449507901481828E-2</v>
      </c>
    </row>
    <row r="25" spans="1:20" x14ac:dyDescent="0.25">
      <c r="A25" s="4">
        <v>49</v>
      </c>
      <c r="B25" s="4">
        <v>1</v>
      </c>
      <c r="C25" s="4">
        <v>2</v>
      </c>
      <c r="D25" s="4">
        <v>130</v>
      </c>
      <c r="E25" s="4">
        <v>266</v>
      </c>
      <c r="F25" s="4">
        <v>0</v>
      </c>
      <c r="G25" s="4">
        <v>0</v>
      </c>
      <c r="H25" s="4">
        <v>171</v>
      </c>
      <c r="I25" s="4">
        <v>0</v>
      </c>
      <c r="J25" s="4">
        <v>0.6</v>
      </c>
      <c r="K25" s="4">
        <v>1</v>
      </c>
      <c r="L25" s="4">
        <v>0</v>
      </c>
      <c r="M25" s="4">
        <v>3</v>
      </c>
      <c r="N25" s="4">
        <v>0</v>
      </c>
      <c r="O25" s="4">
        <f t="shared" si="1"/>
        <v>-2.9312840142000001</v>
      </c>
      <c r="P25" s="4">
        <f t="shared" si="2"/>
        <v>5.0628572754882785E-2</v>
      </c>
      <c r="Q25" s="4">
        <f t="shared" si="3"/>
        <v>0</v>
      </c>
      <c r="R25" s="4">
        <f t="shared" si="4"/>
        <v>0</v>
      </c>
      <c r="S25" s="4">
        <f t="shared" si="5"/>
        <v>0.94937142724511725</v>
      </c>
      <c r="T25" s="4">
        <f t="shared" si="6"/>
        <v>5.195516890963011E-2</v>
      </c>
    </row>
    <row r="26" spans="1:20" x14ac:dyDescent="0.25">
      <c r="A26" s="4">
        <v>64</v>
      </c>
      <c r="B26" s="4">
        <v>1</v>
      </c>
      <c r="C26" s="4">
        <v>1</v>
      </c>
      <c r="D26" s="4">
        <v>110</v>
      </c>
      <c r="E26" s="4">
        <v>211</v>
      </c>
      <c r="F26" s="4">
        <v>0</v>
      </c>
      <c r="G26" s="4">
        <v>2</v>
      </c>
      <c r="H26" s="4">
        <v>144</v>
      </c>
      <c r="I26" s="4">
        <v>1</v>
      </c>
      <c r="J26" s="4">
        <v>1.8</v>
      </c>
      <c r="K26" s="4">
        <v>2</v>
      </c>
      <c r="L26" s="4">
        <v>0</v>
      </c>
      <c r="M26" s="4">
        <v>3</v>
      </c>
      <c r="N26" s="4">
        <v>0</v>
      </c>
      <c r="O26" s="4">
        <f t="shared" si="1"/>
        <v>-1.6339980045999987</v>
      </c>
      <c r="P26" s="4">
        <f t="shared" si="2"/>
        <v>0.16328341051183587</v>
      </c>
      <c r="Q26" s="4">
        <f t="shared" si="3"/>
        <v>0</v>
      </c>
      <c r="R26" s="4">
        <f t="shared" si="4"/>
        <v>0</v>
      </c>
      <c r="S26" s="4">
        <f t="shared" si="5"/>
        <v>0.83671658948816408</v>
      </c>
      <c r="T26" s="4">
        <f t="shared" si="6"/>
        <v>0.17826986859357083</v>
      </c>
    </row>
    <row r="27" spans="1:20" x14ac:dyDescent="0.25">
      <c r="A27" s="4">
        <v>58</v>
      </c>
      <c r="B27" s="4">
        <v>0</v>
      </c>
      <c r="C27" s="4">
        <v>1</v>
      </c>
      <c r="D27" s="4">
        <v>150</v>
      </c>
      <c r="E27" s="4">
        <v>283</v>
      </c>
      <c r="F27" s="4">
        <v>1</v>
      </c>
      <c r="G27" s="4">
        <v>2</v>
      </c>
      <c r="H27" s="4">
        <v>162</v>
      </c>
      <c r="I27" s="4">
        <v>0</v>
      </c>
      <c r="J27" s="4">
        <v>1</v>
      </c>
      <c r="K27" s="4">
        <v>1</v>
      </c>
      <c r="L27" s="4">
        <v>0</v>
      </c>
      <c r="M27" s="4">
        <v>3</v>
      </c>
      <c r="N27" s="4">
        <v>0</v>
      </c>
      <c r="O27" s="4">
        <f t="shared" si="1"/>
        <v>-4.6276456929999998</v>
      </c>
      <c r="P27" s="4">
        <f t="shared" si="2"/>
        <v>9.6830731687192403E-3</v>
      </c>
      <c r="Q27" s="4">
        <f t="shared" si="3"/>
        <v>0</v>
      </c>
      <c r="R27" s="4">
        <f t="shared" si="4"/>
        <v>0</v>
      </c>
      <c r="S27" s="4">
        <f t="shared" si="5"/>
        <v>0.99031692683128081</v>
      </c>
      <c r="T27" s="4">
        <f t="shared" si="6"/>
        <v>9.7302589711675946E-3</v>
      </c>
    </row>
    <row r="28" spans="1:20" x14ac:dyDescent="0.25">
      <c r="A28" s="4">
        <v>58</v>
      </c>
      <c r="B28" s="4">
        <v>1</v>
      </c>
      <c r="C28" s="4">
        <v>2</v>
      </c>
      <c r="D28" s="4">
        <v>120</v>
      </c>
      <c r="E28" s="4">
        <v>284</v>
      </c>
      <c r="F28" s="4">
        <v>0</v>
      </c>
      <c r="G28" s="4">
        <v>2</v>
      </c>
      <c r="H28" s="4">
        <v>160</v>
      </c>
      <c r="I28" s="4">
        <v>0</v>
      </c>
      <c r="J28" s="4">
        <v>1.8</v>
      </c>
      <c r="K28" s="4">
        <v>2</v>
      </c>
      <c r="L28" s="4">
        <v>0</v>
      </c>
      <c r="M28" s="4">
        <v>3</v>
      </c>
      <c r="N28" s="4">
        <v>1</v>
      </c>
      <c r="O28" s="4">
        <f t="shared" si="1"/>
        <v>-1.624744592599999</v>
      </c>
      <c r="P28" s="4">
        <f t="shared" si="2"/>
        <v>0.16455157185520203</v>
      </c>
      <c r="Q28" s="4">
        <f t="shared" si="3"/>
        <v>0</v>
      </c>
      <c r="R28" s="4">
        <f t="shared" si="4"/>
        <v>1</v>
      </c>
      <c r="S28" s="4">
        <f t="shared" si="5"/>
        <v>0.16455157185520203</v>
      </c>
      <c r="T28" s="4">
        <f t="shared" si="6"/>
        <v>1.8045312511911196</v>
      </c>
    </row>
    <row r="29" spans="1:20" x14ac:dyDescent="0.25">
      <c r="A29" s="4">
        <v>58</v>
      </c>
      <c r="B29" s="4">
        <v>1</v>
      </c>
      <c r="C29" s="4">
        <v>3</v>
      </c>
      <c r="D29" s="4">
        <v>132</v>
      </c>
      <c r="E29" s="4">
        <v>224</v>
      </c>
      <c r="F29" s="4">
        <v>0</v>
      </c>
      <c r="G29" s="4">
        <v>2</v>
      </c>
      <c r="H29" s="4">
        <v>173</v>
      </c>
      <c r="I29" s="4">
        <v>0</v>
      </c>
      <c r="J29" s="4">
        <v>3.2</v>
      </c>
      <c r="K29" s="4">
        <v>1</v>
      </c>
      <c r="L29" s="4">
        <v>2</v>
      </c>
      <c r="M29" s="4">
        <v>7</v>
      </c>
      <c r="N29" s="4">
        <v>1</v>
      </c>
      <c r="O29" s="4">
        <f t="shared" si="1"/>
        <v>2.358837684600001</v>
      </c>
      <c r="P29" s="4">
        <f t="shared" si="2"/>
        <v>0.91363413499558366</v>
      </c>
      <c r="Q29" s="4">
        <f t="shared" si="3"/>
        <v>1</v>
      </c>
      <c r="R29" s="4">
        <f t="shared" si="4"/>
        <v>0</v>
      </c>
      <c r="S29" s="4">
        <f t="shared" si="5"/>
        <v>0.91363413499558366</v>
      </c>
      <c r="T29" s="4">
        <f t="shared" si="6"/>
        <v>9.0325077604577295E-2</v>
      </c>
    </row>
    <row r="30" spans="1:20" x14ac:dyDescent="0.25">
      <c r="A30" s="4">
        <v>60</v>
      </c>
      <c r="B30" s="4">
        <v>1</v>
      </c>
      <c r="C30" s="4">
        <v>4</v>
      </c>
      <c r="D30" s="4">
        <v>130</v>
      </c>
      <c r="E30" s="4">
        <v>206</v>
      </c>
      <c r="F30" s="4">
        <v>0</v>
      </c>
      <c r="G30" s="4">
        <v>2</v>
      </c>
      <c r="H30" s="4">
        <v>132</v>
      </c>
      <c r="I30" s="4">
        <v>1</v>
      </c>
      <c r="J30" s="4">
        <v>2.4</v>
      </c>
      <c r="K30" s="4">
        <v>2</v>
      </c>
      <c r="L30" s="4">
        <v>2</v>
      </c>
      <c r="M30" s="4">
        <v>7</v>
      </c>
      <c r="N30" s="4">
        <v>1</v>
      </c>
      <c r="O30" s="4">
        <f t="shared" si="1"/>
        <v>4.9138932362000016</v>
      </c>
      <c r="P30" s="4">
        <f t="shared" si="2"/>
        <v>0.99270969753038352</v>
      </c>
      <c r="Q30" s="4">
        <f t="shared" si="3"/>
        <v>1</v>
      </c>
      <c r="R30" s="4">
        <f t="shared" si="4"/>
        <v>0</v>
      </c>
      <c r="S30" s="4">
        <f t="shared" si="5"/>
        <v>0.99270969753038352</v>
      </c>
      <c r="T30" s="4">
        <f t="shared" si="6"/>
        <v>7.3170065912387611E-3</v>
      </c>
    </row>
    <row r="31" spans="1:20" x14ac:dyDescent="0.25">
      <c r="A31" s="4">
        <v>50</v>
      </c>
      <c r="B31" s="4">
        <v>0</v>
      </c>
      <c r="C31" s="4">
        <v>3</v>
      </c>
      <c r="D31" s="4">
        <v>120</v>
      </c>
      <c r="E31" s="4">
        <v>219</v>
      </c>
      <c r="F31" s="4">
        <v>0</v>
      </c>
      <c r="G31" s="4">
        <v>0</v>
      </c>
      <c r="H31" s="4">
        <v>158</v>
      </c>
      <c r="I31" s="4">
        <v>0</v>
      </c>
      <c r="J31" s="4">
        <v>1.6</v>
      </c>
      <c r="K31" s="4">
        <v>2</v>
      </c>
      <c r="L31" s="4">
        <v>0</v>
      </c>
      <c r="M31" s="4">
        <v>3</v>
      </c>
      <c r="N31" s="4">
        <v>0</v>
      </c>
      <c r="O31" s="4">
        <f t="shared" si="1"/>
        <v>-3.0708250501999999</v>
      </c>
      <c r="P31" s="4">
        <f t="shared" si="2"/>
        <v>4.4326863675685411E-2</v>
      </c>
      <c r="Q31" s="4">
        <f t="shared" si="3"/>
        <v>0</v>
      </c>
      <c r="R31" s="4">
        <f t="shared" si="4"/>
        <v>0</v>
      </c>
      <c r="S31" s="4">
        <f t="shared" si="5"/>
        <v>0.95567313632431461</v>
      </c>
      <c r="T31" s="4">
        <f t="shared" si="6"/>
        <v>4.5339332005018926E-2</v>
      </c>
    </row>
    <row r="32" spans="1:20" x14ac:dyDescent="0.25">
      <c r="A32" s="4">
        <v>58</v>
      </c>
      <c r="B32" s="4">
        <v>0</v>
      </c>
      <c r="C32" s="4">
        <v>3</v>
      </c>
      <c r="D32" s="4">
        <v>120</v>
      </c>
      <c r="E32" s="4">
        <v>340</v>
      </c>
      <c r="F32" s="4">
        <v>0</v>
      </c>
      <c r="G32" s="4">
        <v>0</v>
      </c>
      <c r="H32" s="4">
        <v>172</v>
      </c>
      <c r="I32" s="4">
        <v>0</v>
      </c>
      <c r="J32" s="4">
        <v>0</v>
      </c>
      <c r="K32" s="4">
        <v>1</v>
      </c>
      <c r="L32" s="4">
        <v>0</v>
      </c>
      <c r="M32" s="4">
        <v>3</v>
      </c>
      <c r="N32" s="4">
        <v>0</v>
      </c>
      <c r="O32" s="4">
        <f t="shared" si="1"/>
        <v>-3.8348023739999992</v>
      </c>
      <c r="P32" s="4">
        <f t="shared" si="2"/>
        <v>2.1148677837649857E-2</v>
      </c>
      <c r="Q32" s="4">
        <f t="shared" si="3"/>
        <v>0</v>
      </c>
      <c r="R32" s="4">
        <f t="shared" si="4"/>
        <v>0</v>
      </c>
      <c r="S32" s="4">
        <f t="shared" si="5"/>
        <v>0.97885132216235016</v>
      </c>
      <c r="T32" s="4">
        <f t="shared" si="6"/>
        <v>2.137551503020171E-2</v>
      </c>
    </row>
    <row r="33" spans="1:20" x14ac:dyDescent="0.25">
      <c r="A33" s="4">
        <v>66</v>
      </c>
      <c r="B33" s="4">
        <v>0</v>
      </c>
      <c r="C33" s="4">
        <v>1</v>
      </c>
      <c r="D33" s="4">
        <v>150</v>
      </c>
      <c r="E33" s="4">
        <v>226</v>
      </c>
      <c r="F33" s="4">
        <v>0</v>
      </c>
      <c r="G33" s="4">
        <v>0</v>
      </c>
      <c r="H33" s="4">
        <v>114</v>
      </c>
      <c r="I33" s="4">
        <v>0</v>
      </c>
      <c r="J33" s="4">
        <v>2.6</v>
      </c>
      <c r="K33" s="4">
        <v>3</v>
      </c>
      <c r="L33" s="4">
        <v>0</v>
      </c>
      <c r="M33" s="4">
        <v>3</v>
      </c>
      <c r="N33" s="4">
        <v>0</v>
      </c>
      <c r="O33" s="4">
        <f t="shared" si="1"/>
        <v>-1.9662768732</v>
      </c>
      <c r="P33" s="4">
        <f t="shared" si="2"/>
        <v>0.12278934984976084</v>
      </c>
      <c r="Q33" s="4">
        <f t="shared" si="3"/>
        <v>0</v>
      </c>
      <c r="R33" s="4">
        <f t="shared" si="4"/>
        <v>0</v>
      </c>
      <c r="S33" s="4">
        <f t="shared" si="5"/>
        <v>0.87721065015023914</v>
      </c>
      <c r="T33" s="4">
        <f t="shared" si="6"/>
        <v>0.13100812143796214</v>
      </c>
    </row>
    <row r="34" spans="1:20" x14ac:dyDescent="0.25">
      <c r="A34" s="4">
        <v>43</v>
      </c>
      <c r="B34" s="4">
        <v>1</v>
      </c>
      <c r="C34" s="4">
        <v>4</v>
      </c>
      <c r="D34" s="4">
        <v>150</v>
      </c>
      <c r="E34" s="4">
        <v>247</v>
      </c>
      <c r="F34" s="4">
        <v>0</v>
      </c>
      <c r="G34" s="4">
        <v>0</v>
      </c>
      <c r="H34" s="4">
        <v>171</v>
      </c>
      <c r="I34" s="4">
        <v>0</v>
      </c>
      <c r="J34" s="4">
        <v>1.5</v>
      </c>
      <c r="K34" s="4">
        <v>1</v>
      </c>
      <c r="L34" s="4">
        <v>0</v>
      </c>
      <c r="M34" s="4">
        <v>3</v>
      </c>
      <c r="N34" s="4">
        <v>0</v>
      </c>
      <c r="O34" s="4">
        <f t="shared" si="1"/>
        <v>-1.0858654030000015</v>
      </c>
      <c r="P34" s="4">
        <f t="shared" si="2"/>
        <v>0.25239764923824731</v>
      </c>
      <c r="Q34" s="4">
        <f t="shared" si="3"/>
        <v>0</v>
      </c>
      <c r="R34" s="4">
        <f t="shared" si="4"/>
        <v>0</v>
      </c>
      <c r="S34" s="4">
        <f t="shared" si="5"/>
        <v>0.74760235076175263</v>
      </c>
      <c r="T34" s="4">
        <f t="shared" si="6"/>
        <v>0.29088405899455383</v>
      </c>
    </row>
    <row r="35" spans="1:20" x14ac:dyDescent="0.25">
      <c r="A35" s="4">
        <v>40</v>
      </c>
      <c r="B35" s="4">
        <v>1</v>
      </c>
      <c r="C35" s="4">
        <v>4</v>
      </c>
      <c r="D35" s="4">
        <v>110</v>
      </c>
      <c r="E35" s="4">
        <v>167</v>
      </c>
      <c r="F35" s="4">
        <v>0</v>
      </c>
      <c r="G35" s="4">
        <v>2</v>
      </c>
      <c r="H35" s="4">
        <v>114</v>
      </c>
      <c r="I35" s="4">
        <v>1</v>
      </c>
      <c r="J35" s="4">
        <v>2</v>
      </c>
      <c r="K35" s="4">
        <v>2</v>
      </c>
      <c r="L35" s="4">
        <v>0</v>
      </c>
      <c r="M35" s="4">
        <v>7</v>
      </c>
      <c r="N35" s="4">
        <v>1</v>
      </c>
      <c r="O35" s="4">
        <f t="shared" si="1"/>
        <v>2.2589328910000006</v>
      </c>
      <c r="P35" s="4">
        <f t="shared" si="2"/>
        <v>0.90541828761680776</v>
      </c>
      <c r="Q35" s="4">
        <f t="shared" si="3"/>
        <v>1</v>
      </c>
      <c r="R35" s="4">
        <f t="shared" si="4"/>
        <v>0</v>
      </c>
      <c r="S35" s="4">
        <f t="shared" si="5"/>
        <v>0.90541828761680776</v>
      </c>
      <c r="T35" s="4">
        <f t="shared" si="6"/>
        <v>9.935824580033617E-2</v>
      </c>
    </row>
    <row r="36" spans="1:20" x14ac:dyDescent="0.25">
      <c r="A36" s="4">
        <v>69</v>
      </c>
      <c r="B36" s="4">
        <v>0</v>
      </c>
      <c r="C36" s="4">
        <v>1</v>
      </c>
      <c r="D36" s="4">
        <v>140</v>
      </c>
      <c r="E36" s="4">
        <v>239</v>
      </c>
      <c r="F36" s="4">
        <v>0</v>
      </c>
      <c r="G36" s="4">
        <v>0</v>
      </c>
      <c r="H36" s="4">
        <v>151</v>
      </c>
      <c r="I36" s="4">
        <v>0</v>
      </c>
      <c r="J36" s="4">
        <v>1.8</v>
      </c>
      <c r="K36" s="4">
        <v>1</v>
      </c>
      <c r="L36" s="4">
        <v>2</v>
      </c>
      <c r="M36" s="4">
        <v>3</v>
      </c>
      <c r="N36" s="4">
        <v>0</v>
      </c>
      <c r="O36" s="4">
        <f t="shared" si="1"/>
        <v>-1.7513683905999997</v>
      </c>
      <c r="P36" s="4">
        <f t="shared" si="2"/>
        <v>0.14787468709528093</v>
      </c>
      <c r="Q36" s="4">
        <f t="shared" si="3"/>
        <v>0</v>
      </c>
      <c r="R36" s="4">
        <f t="shared" si="4"/>
        <v>0</v>
      </c>
      <c r="S36" s="4">
        <f t="shared" si="5"/>
        <v>0.85212531290471905</v>
      </c>
      <c r="T36" s="4">
        <f t="shared" si="6"/>
        <v>0.16002168209406922</v>
      </c>
    </row>
    <row r="37" spans="1:20" x14ac:dyDescent="0.25">
      <c r="A37" s="4">
        <v>60</v>
      </c>
      <c r="B37" s="4">
        <v>1</v>
      </c>
      <c r="C37" s="4">
        <v>4</v>
      </c>
      <c r="D37" s="4">
        <v>117</v>
      </c>
      <c r="E37" s="4">
        <v>230</v>
      </c>
      <c r="F37" s="4">
        <v>1</v>
      </c>
      <c r="G37" s="4">
        <v>0</v>
      </c>
      <c r="H37" s="4">
        <v>160</v>
      </c>
      <c r="I37" s="4">
        <v>1</v>
      </c>
      <c r="J37" s="4">
        <v>1.4</v>
      </c>
      <c r="K37" s="4">
        <v>1</v>
      </c>
      <c r="L37" s="4">
        <v>2</v>
      </c>
      <c r="M37" s="4">
        <v>7</v>
      </c>
      <c r="N37" s="4">
        <v>1</v>
      </c>
      <c r="O37" s="4">
        <f t="shared" si="1"/>
        <v>1.8129491862000009</v>
      </c>
      <c r="P37" s="4">
        <f t="shared" si="2"/>
        <v>0.85971793247109274</v>
      </c>
      <c r="Q37" s="4">
        <f t="shared" si="3"/>
        <v>1</v>
      </c>
      <c r="R37" s="4">
        <f t="shared" si="4"/>
        <v>0</v>
      </c>
      <c r="S37" s="4">
        <f t="shared" si="5"/>
        <v>0.85971793247109274</v>
      </c>
      <c r="T37" s="4">
        <f t="shared" si="6"/>
        <v>0.15115092903232055</v>
      </c>
    </row>
    <row r="38" spans="1:20" x14ac:dyDescent="0.25">
      <c r="A38" s="4">
        <v>64</v>
      </c>
      <c r="B38" s="4">
        <v>1</v>
      </c>
      <c r="C38" s="4">
        <v>3</v>
      </c>
      <c r="D38" s="4">
        <v>140</v>
      </c>
      <c r="E38" s="4">
        <v>335</v>
      </c>
      <c r="F38" s="4">
        <v>0</v>
      </c>
      <c r="G38" s="4">
        <v>0</v>
      </c>
      <c r="H38" s="4">
        <v>158</v>
      </c>
      <c r="I38" s="4">
        <v>0</v>
      </c>
      <c r="J38" s="4">
        <v>0</v>
      </c>
      <c r="K38" s="4">
        <v>1</v>
      </c>
      <c r="L38" s="4">
        <v>0</v>
      </c>
      <c r="M38" s="4">
        <v>3</v>
      </c>
      <c r="N38" s="4">
        <v>1</v>
      </c>
      <c r="O38" s="4">
        <f t="shared" si="1"/>
        <v>-1.8624363879999999</v>
      </c>
      <c r="P38" s="4">
        <f t="shared" si="2"/>
        <v>0.1344193237589362</v>
      </c>
      <c r="Q38" s="4">
        <f t="shared" si="3"/>
        <v>0</v>
      </c>
      <c r="R38" s="4">
        <f t="shared" si="4"/>
        <v>1</v>
      </c>
      <c r="S38" s="4">
        <f t="shared" si="5"/>
        <v>0.1344193237589362</v>
      </c>
      <c r="T38" s="4">
        <f t="shared" si="6"/>
        <v>2.0067910832598739</v>
      </c>
    </row>
    <row r="39" spans="1:20" x14ac:dyDescent="0.25">
      <c r="A39" s="4">
        <v>59</v>
      </c>
      <c r="B39" s="4">
        <v>1</v>
      </c>
      <c r="C39" s="4">
        <v>4</v>
      </c>
      <c r="D39" s="4">
        <v>135</v>
      </c>
      <c r="E39" s="4">
        <v>234</v>
      </c>
      <c r="F39" s="4">
        <v>0</v>
      </c>
      <c r="G39" s="4">
        <v>0</v>
      </c>
      <c r="H39" s="4">
        <v>161</v>
      </c>
      <c r="I39" s="4">
        <v>0</v>
      </c>
      <c r="J39" s="4">
        <v>0.5</v>
      </c>
      <c r="K39" s="4">
        <v>2</v>
      </c>
      <c r="L39" s="4">
        <v>0</v>
      </c>
      <c r="M39" s="4">
        <v>7</v>
      </c>
      <c r="N39" s="4">
        <v>0</v>
      </c>
      <c r="O39" s="4">
        <f t="shared" si="1"/>
        <v>0.16699808799999971</v>
      </c>
      <c r="P39" s="4">
        <f t="shared" si="2"/>
        <v>0.54165276468487178</v>
      </c>
      <c r="Q39" s="4">
        <f t="shared" si="3"/>
        <v>1</v>
      </c>
      <c r="R39" s="4">
        <f t="shared" si="4"/>
        <v>1</v>
      </c>
      <c r="S39" s="4">
        <f t="shared" si="5"/>
        <v>0.45834723531512822</v>
      </c>
      <c r="T39" s="4">
        <f t="shared" si="6"/>
        <v>0.78012822641292523</v>
      </c>
    </row>
    <row r="40" spans="1:20" x14ac:dyDescent="0.25">
      <c r="A40" s="4">
        <v>44</v>
      </c>
      <c r="B40" s="4">
        <v>1</v>
      </c>
      <c r="C40" s="4">
        <v>3</v>
      </c>
      <c r="D40" s="4">
        <v>130</v>
      </c>
      <c r="E40" s="4">
        <v>233</v>
      </c>
      <c r="F40" s="4">
        <v>0</v>
      </c>
      <c r="G40" s="4">
        <v>0</v>
      </c>
      <c r="H40" s="4">
        <v>179</v>
      </c>
      <c r="I40" s="4">
        <v>1</v>
      </c>
      <c r="J40" s="4">
        <v>0.4</v>
      </c>
      <c r="K40" s="4">
        <v>1</v>
      </c>
      <c r="L40" s="4">
        <v>0</v>
      </c>
      <c r="M40" s="4">
        <v>3</v>
      </c>
      <c r="N40" s="4">
        <v>0</v>
      </c>
      <c r="O40" s="4">
        <f t="shared" si="1"/>
        <v>-1.7380883998000005</v>
      </c>
      <c r="P40" s="4">
        <f t="shared" si="2"/>
        <v>0.14955590608550759</v>
      </c>
      <c r="Q40" s="4">
        <f t="shared" si="3"/>
        <v>0</v>
      </c>
      <c r="R40" s="4">
        <f t="shared" si="4"/>
        <v>0</v>
      </c>
      <c r="S40" s="4">
        <f t="shared" si="5"/>
        <v>0.85044409391449238</v>
      </c>
      <c r="T40" s="4">
        <f t="shared" si="6"/>
        <v>0.16199660250545758</v>
      </c>
    </row>
    <row r="41" spans="1:20" x14ac:dyDescent="0.25">
      <c r="A41" s="4">
        <v>42</v>
      </c>
      <c r="B41" s="4">
        <v>1</v>
      </c>
      <c r="C41" s="4">
        <v>4</v>
      </c>
      <c r="D41" s="4">
        <v>140</v>
      </c>
      <c r="E41" s="4">
        <v>226</v>
      </c>
      <c r="F41" s="4">
        <v>0</v>
      </c>
      <c r="G41" s="4">
        <v>0</v>
      </c>
      <c r="H41" s="4">
        <v>178</v>
      </c>
      <c r="I41" s="4">
        <v>0</v>
      </c>
      <c r="J41" s="4">
        <v>0</v>
      </c>
      <c r="K41" s="4">
        <v>1</v>
      </c>
      <c r="L41" s="4">
        <v>0</v>
      </c>
      <c r="M41" s="4">
        <v>3</v>
      </c>
      <c r="N41" s="4">
        <v>0</v>
      </c>
      <c r="O41" s="4">
        <f t="shared" si="1"/>
        <v>-1.9327824220000007</v>
      </c>
      <c r="P41" s="4">
        <f t="shared" si="2"/>
        <v>0.12644292781014019</v>
      </c>
      <c r="Q41" s="4">
        <f t="shared" si="3"/>
        <v>0</v>
      </c>
      <c r="R41" s="4">
        <f t="shared" si="4"/>
        <v>0</v>
      </c>
      <c r="S41" s="4">
        <f t="shared" si="5"/>
        <v>0.87355707218985978</v>
      </c>
      <c r="T41" s="4">
        <f t="shared" si="6"/>
        <v>0.13518181417566438</v>
      </c>
    </row>
    <row r="42" spans="1:20" x14ac:dyDescent="0.25">
      <c r="A42" s="4">
        <v>43</v>
      </c>
      <c r="B42" s="4">
        <v>1</v>
      </c>
      <c r="C42" s="4">
        <v>4</v>
      </c>
      <c r="D42" s="4">
        <v>120</v>
      </c>
      <c r="E42" s="4">
        <v>177</v>
      </c>
      <c r="F42" s="4">
        <v>0</v>
      </c>
      <c r="G42" s="4">
        <v>2</v>
      </c>
      <c r="H42" s="4">
        <v>120</v>
      </c>
      <c r="I42" s="4">
        <v>1</v>
      </c>
      <c r="J42" s="4">
        <v>2.5</v>
      </c>
      <c r="K42" s="4">
        <v>2</v>
      </c>
      <c r="L42" s="4">
        <v>0</v>
      </c>
      <c r="M42" s="4">
        <v>7</v>
      </c>
      <c r="N42" s="4">
        <v>1</v>
      </c>
      <c r="O42" s="4">
        <f t="shared" si="1"/>
        <v>2.5065629230000006</v>
      </c>
      <c r="P42" s="4">
        <f t="shared" si="2"/>
        <v>0.92460062648721575</v>
      </c>
      <c r="Q42" s="4">
        <f t="shared" si="3"/>
        <v>1</v>
      </c>
      <c r="R42" s="4">
        <f t="shared" si="4"/>
        <v>0</v>
      </c>
      <c r="S42" s="4">
        <f t="shared" si="5"/>
        <v>0.92460062648721575</v>
      </c>
      <c r="T42" s="4">
        <f t="shared" si="6"/>
        <v>7.8393389851759004E-2</v>
      </c>
    </row>
    <row r="43" spans="1:20" x14ac:dyDescent="0.25">
      <c r="A43" s="4">
        <v>57</v>
      </c>
      <c r="B43" s="4">
        <v>1</v>
      </c>
      <c r="C43" s="4">
        <v>4</v>
      </c>
      <c r="D43" s="4">
        <v>150</v>
      </c>
      <c r="E43" s="4">
        <v>276</v>
      </c>
      <c r="F43" s="4">
        <v>0</v>
      </c>
      <c r="G43" s="4">
        <v>2</v>
      </c>
      <c r="H43" s="4">
        <v>112</v>
      </c>
      <c r="I43" s="4">
        <v>1</v>
      </c>
      <c r="J43" s="4">
        <v>0.6</v>
      </c>
      <c r="K43" s="4">
        <v>2</v>
      </c>
      <c r="L43" s="4">
        <v>1</v>
      </c>
      <c r="M43" s="4">
        <v>6</v>
      </c>
      <c r="N43" s="4">
        <v>1</v>
      </c>
      <c r="O43" s="4">
        <f t="shared" si="1"/>
        <v>4.1432767058000017</v>
      </c>
      <c r="P43" s="4">
        <f t="shared" si="2"/>
        <v>0.98437718361514204</v>
      </c>
      <c r="Q43" s="4">
        <f t="shared" si="3"/>
        <v>1</v>
      </c>
      <c r="R43" s="4">
        <f t="shared" si="4"/>
        <v>0</v>
      </c>
      <c r="S43" s="4">
        <f t="shared" si="5"/>
        <v>0.98437718361514204</v>
      </c>
      <c r="T43" s="4">
        <f t="shared" si="6"/>
        <v>1.574613869489969E-2</v>
      </c>
    </row>
    <row r="44" spans="1:20" x14ac:dyDescent="0.25">
      <c r="A44" s="4">
        <v>55</v>
      </c>
      <c r="B44" s="4">
        <v>1</v>
      </c>
      <c r="C44" s="4">
        <v>4</v>
      </c>
      <c r="D44" s="4">
        <v>132</v>
      </c>
      <c r="E44" s="4">
        <v>353</v>
      </c>
      <c r="F44" s="4">
        <v>0</v>
      </c>
      <c r="G44" s="4">
        <v>0</v>
      </c>
      <c r="H44" s="4">
        <v>132</v>
      </c>
      <c r="I44" s="4">
        <v>1</v>
      </c>
      <c r="J44" s="4">
        <v>1.2</v>
      </c>
      <c r="K44" s="4">
        <v>2</v>
      </c>
      <c r="L44" s="4">
        <v>1</v>
      </c>
      <c r="M44" s="4">
        <v>7</v>
      </c>
      <c r="N44" s="4">
        <v>1</v>
      </c>
      <c r="O44" s="4">
        <f t="shared" si="1"/>
        <v>3.7122305995999998</v>
      </c>
      <c r="P44" s="4">
        <f t="shared" si="2"/>
        <v>0.97615927704125016</v>
      </c>
      <c r="Q44" s="4">
        <f t="shared" si="3"/>
        <v>1</v>
      </c>
      <c r="R44" s="4">
        <f t="shared" si="4"/>
        <v>0</v>
      </c>
      <c r="S44" s="4">
        <f t="shared" si="5"/>
        <v>0.97615927704125016</v>
      </c>
      <c r="T44" s="4">
        <f t="shared" si="6"/>
        <v>2.4129512193880712E-2</v>
      </c>
    </row>
    <row r="45" spans="1:20" x14ac:dyDescent="0.25">
      <c r="A45" s="4">
        <v>61</v>
      </c>
      <c r="B45" s="4">
        <v>1</v>
      </c>
      <c r="C45" s="4">
        <v>3</v>
      </c>
      <c r="D45" s="4">
        <v>150</v>
      </c>
      <c r="E45" s="4">
        <v>243</v>
      </c>
      <c r="F45" s="4">
        <v>1</v>
      </c>
      <c r="G45" s="4">
        <v>0</v>
      </c>
      <c r="H45" s="4">
        <v>137</v>
      </c>
      <c r="I45" s="4">
        <v>1</v>
      </c>
      <c r="J45" s="4">
        <v>1</v>
      </c>
      <c r="K45" s="4">
        <v>2</v>
      </c>
      <c r="L45" s="4">
        <v>0</v>
      </c>
      <c r="M45" s="4">
        <v>3</v>
      </c>
      <c r="N45" s="4">
        <v>0</v>
      </c>
      <c r="O45" s="4">
        <f t="shared" si="1"/>
        <v>-0.88354775899999893</v>
      </c>
      <c r="P45" s="4">
        <f t="shared" si="2"/>
        <v>0.29244313589605908</v>
      </c>
      <c r="Q45" s="4">
        <f t="shared" si="3"/>
        <v>0</v>
      </c>
      <c r="R45" s="4">
        <f t="shared" si="4"/>
        <v>0</v>
      </c>
      <c r="S45" s="4">
        <f t="shared" si="5"/>
        <v>0.70755686410394092</v>
      </c>
      <c r="T45" s="4">
        <f t="shared" si="6"/>
        <v>0.34593727940271501</v>
      </c>
    </row>
    <row r="46" spans="1:20" x14ac:dyDescent="0.25">
      <c r="A46" s="4">
        <v>65</v>
      </c>
      <c r="B46" s="4">
        <v>0</v>
      </c>
      <c r="C46" s="4">
        <v>4</v>
      </c>
      <c r="D46" s="4">
        <v>150</v>
      </c>
      <c r="E46" s="4">
        <v>225</v>
      </c>
      <c r="F46" s="4">
        <v>0</v>
      </c>
      <c r="G46" s="4">
        <v>2</v>
      </c>
      <c r="H46" s="4">
        <v>114</v>
      </c>
      <c r="I46" s="4">
        <v>0</v>
      </c>
      <c r="J46" s="4">
        <v>1</v>
      </c>
      <c r="K46" s="4">
        <v>2</v>
      </c>
      <c r="L46" s="4">
        <v>3</v>
      </c>
      <c r="M46" s="4">
        <v>7</v>
      </c>
      <c r="N46" s="4">
        <v>1</v>
      </c>
      <c r="O46" s="4">
        <f t="shared" si="1"/>
        <v>4.4739964759999999</v>
      </c>
      <c r="P46" s="4">
        <f t="shared" si="2"/>
        <v>0.98872687410553328</v>
      </c>
      <c r="Q46" s="4">
        <f t="shared" si="3"/>
        <v>1</v>
      </c>
      <c r="R46" s="4">
        <f t="shared" si="4"/>
        <v>0</v>
      </c>
      <c r="S46" s="4">
        <f t="shared" si="5"/>
        <v>0.98872687410553328</v>
      </c>
      <c r="T46" s="4">
        <f t="shared" si="6"/>
        <v>1.133714919475327E-2</v>
      </c>
    </row>
    <row r="47" spans="1:20" x14ac:dyDescent="0.25">
      <c r="A47" s="4">
        <v>40</v>
      </c>
      <c r="B47" s="4">
        <v>1</v>
      </c>
      <c r="C47" s="4">
        <v>1</v>
      </c>
      <c r="D47" s="4">
        <v>140</v>
      </c>
      <c r="E47" s="4">
        <v>199</v>
      </c>
      <c r="F47" s="4">
        <v>0</v>
      </c>
      <c r="G47" s="4">
        <v>0</v>
      </c>
      <c r="H47" s="4">
        <v>178</v>
      </c>
      <c r="I47" s="4">
        <v>1</v>
      </c>
      <c r="J47" s="4">
        <v>1.4</v>
      </c>
      <c r="K47" s="4">
        <v>1</v>
      </c>
      <c r="L47" s="4">
        <v>0</v>
      </c>
      <c r="M47" s="4">
        <v>7</v>
      </c>
      <c r="N47" s="4">
        <v>0</v>
      </c>
      <c r="O47" s="4">
        <f t="shared" si="1"/>
        <v>-1.118884722799999</v>
      </c>
      <c r="P47" s="4">
        <f t="shared" si="2"/>
        <v>0.24621821461535609</v>
      </c>
      <c r="Q47" s="4">
        <f t="shared" si="3"/>
        <v>0</v>
      </c>
      <c r="R47" s="4">
        <f t="shared" si="4"/>
        <v>0</v>
      </c>
      <c r="S47" s="4">
        <f t="shared" si="5"/>
        <v>0.75378178538464391</v>
      </c>
      <c r="T47" s="4">
        <f t="shared" si="6"/>
        <v>0.2826523621653213</v>
      </c>
    </row>
    <row r="48" spans="1:20" x14ac:dyDescent="0.25">
      <c r="A48" s="4">
        <v>71</v>
      </c>
      <c r="B48" s="4">
        <v>0</v>
      </c>
      <c r="C48" s="4">
        <v>2</v>
      </c>
      <c r="D48" s="4">
        <v>160</v>
      </c>
      <c r="E48" s="4">
        <v>302</v>
      </c>
      <c r="F48" s="4">
        <v>0</v>
      </c>
      <c r="G48" s="4">
        <v>0</v>
      </c>
      <c r="H48" s="4">
        <v>162</v>
      </c>
      <c r="I48" s="4">
        <v>0</v>
      </c>
      <c r="J48" s="4">
        <v>0.4</v>
      </c>
      <c r="K48" s="4">
        <v>1</v>
      </c>
      <c r="L48" s="4">
        <v>2</v>
      </c>
      <c r="M48" s="4">
        <v>3</v>
      </c>
      <c r="N48" s="4">
        <v>0</v>
      </c>
      <c r="O48" s="4">
        <f t="shared" si="1"/>
        <v>-0.98180701479999932</v>
      </c>
      <c r="P48" s="4">
        <f t="shared" si="2"/>
        <v>0.27253337960690793</v>
      </c>
      <c r="Q48" s="4">
        <f t="shared" si="3"/>
        <v>0</v>
      </c>
      <c r="R48" s="4">
        <f t="shared" si="4"/>
        <v>0</v>
      </c>
      <c r="S48" s="4">
        <f t="shared" si="5"/>
        <v>0.72746662039309207</v>
      </c>
      <c r="T48" s="4">
        <f t="shared" si="6"/>
        <v>0.31818716361030841</v>
      </c>
    </row>
    <row r="49" spans="1:20" x14ac:dyDescent="0.25">
      <c r="A49" s="4">
        <v>59</v>
      </c>
      <c r="B49" s="4">
        <v>1</v>
      </c>
      <c r="C49" s="4">
        <v>3</v>
      </c>
      <c r="D49" s="4">
        <v>150</v>
      </c>
      <c r="E49" s="4">
        <v>212</v>
      </c>
      <c r="F49" s="4">
        <v>1</v>
      </c>
      <c r="G49" s="4">
        <v>0</v>
      </c>
      <c r="H49" s="4">
        <v>157</v>
      </c>
      <c r="I49" s="4">
        <v>0</v>
      </c>
      <c r="J49" s="4">
        <v>1.6</v>
      </c>
      <c r="K49" s="4">
        <v>1</v>
      </c>
      <c r="L49" s="4">
        <v>0</v>
      </c>
      <c r="M49" s="4">
        <v>3</v>
      </c>
      <c r="N49" s="4">
        <v>0</v>
      </c>
      <c r="O49" s="4">
        <f t="shared" si="1"/>
        <v>-2.7710905092000004</v>
      </c>
      <c r="P49" s="4">
        <f t="shared" si="2"/>
        <v>5.8906530308513443E-2</v>
      </c>
      <c r="Q49" s="4">
        <f t="shared" si="3"/>
        <v>0</v>
      </c>
      <c r="R49" s="4">
        <f t="shared" si="4"/>
        <v>0</v>
      </c>
      <c r="S49" s="4">
        <f t="shared" si="5"/>
        <v>0.94109346969148655</v>
      </c>
      <c r="T49" s="4">
        <f t="shared" si="6"/>
        <v>6.0712814158060624E-2</v>
      </c>
    </row>
    <row r="50" spans="1:20" x14ac:dyDescent="0.25">
      <c r="A50" s="4">
        <v>61</v>
      </c>
      <c r="B50" s="4">
        <v>0</v>
      </c>
      <c r="C50" s="4">
        <v>4</v>
      </c>
      <c r="D50" s="4">
        <v>130</v>
      </c>
      <c r="E50" s="4">
        <v>330</v>
      </c>
      <c r="F50" s="4">
        <v>0</v>
      </c>
      <c r="G50" s="4">
        <v>2</v>
      </c>
      <c r="H50" s="4">
        <v>169</v>
      </c>
      <c r="I50" s="4">
        <v>0</v>
      </c>
      <c r="J50" s="4">
        <v>0</v>
      </c>
      <c r="K50" s="4">
        <v>1</v>
      </c>
      <c r="L50" s="4">
        <v>0</v>
      </c>
      <c r="M50" s="4">
        <v>3</v>
      </c>
      <c r="N50" s="4">
        <v>1</v>
      </c>
      <c r="O50" s="4">
        <f t="shared" si="1"/>
        <v>-2.5585786889999991</v>
      </c>
      <c r="P50" s="4">
        <f t="shared" si="2"/>
        <v>7.1852271153937788E-2</v>
      </c>
      <c r="Q50" s="4">
        <f t="shared" si="3"/>
        <v>0</v>
      </c>
      <c r="R50" s="4">
        <f t="shared" si="4"/>
        <v>1</v>
      </c>
      <c r="S50" s="4">
        <f t="shared" si="5"/>
        <v>7.1852271153937788E-2</v>
      </c>
      <c r="T50" s="4">
        <f t="shared" si="6"/>
        <v>2.6331430572985317</v>
      </c>
    </row>
    <row r="51" spans="1:20" x14ac:dyDescent="0.25">
      <c r="A51" s="4">
        <v>58</v>
      </c>
      <c r="B51" s="4">
        <v>1</v>
      </c>
      <c r="C51" s="4">
        <v>3</v>
      </c>
      <c r="D51" s="4">
        <v>112</v>
      </c>
      <c r="E51" s="4">
        <v>230</v>
      </c>
      <c r="F51" s="4">
        <v>0</v>
      </c>
      <c r="G51" s="4">
        <v>2</v>
      </c>
      <c r="H51" s="4">
        <v>165</v>
      </c>
      <c r="I51" s="4">
        <v>0</v>
      </c>
      <c r="J51" s="4">
        <v>2.5</v>
      </c>
      <c r="K51" s="4">
        <v>2</v>
      </c>
      <c r="L51" s="4">
        <v>1</v>
      </c>
      <c r="M51" s="4">
        <v>7</v>
      </c>
      <c r="N51" s="4">
        <v>1</v>
      </c>
      <c r="O51" s="4">
        <f t="shared" si="1"/>
        <v>1.2023756809999995</v>
      </c>
      <c r="P51" s="4">
        <f t="shared" si="2"/>
        <v>0.76894713431309902</v>
      </c>
      <c r="Q51" s="4">
        <f t="shared" si="3"/>
        <v>1</v>
      </c>
      <c r="R51" s="4">
        <f t="shared" si="4"/>
        <v>0</v>
      </c>
      <c r="S51" s="4">
        <f t="shared" si="5"/>
        <v>0.76894713431309902</v>
      </c>
      <c r="T51" s="4">
        <f t="shared" si="6"/>
        <v>0.26273305785638512</v>
      </c>
    </row>
    <row r="52" spans="1:20" x14ac:dyDescent="0.25">
      <c r="A52" s="4">
        <v>51</v>
      </c>
      <c r="B52" s="4">
        <v>1</v>
      </c>
      <c r="C52" s="4">
        <v>3</v>
      </c>
      <c r="D52" s="4">
        <v>110</v>
      </c>
      <c r="E52" s="4">
        <v>175</v>
      </c>
      <c r="F52" s="4">
        <v>0</v>
      </c>
      <c r="G52" s="4">
        <v>0</v>
      </c>
      <c r="H52" s="4">
        <v>123</v>
      </c>
      <c r="I52" s="4">
        <v>0</v>
      </c>
      <c r="J52" s="4">
        <v>0.6</v>
      </c>
      <c r="K52" s="4">
        <v>1</v>
      </c>
      <c r="L52" s="4">
        <v>0</v>
      </c>
      <c r="M52" s="4">
        <v>3</v>
      </c>
      <c r="N52" s="4">
        <v>0</v>
      </c>
      <c r="O52" s="4">
        <f t="shared" si="1"/>
        <v>-2.3273029761999995</v>
      </c>
      <c r="P52" s="4">
        <f t="shared" si="2"/>
        <v>8.8886842302271785E-2</v>
      </c>
      <c r="Q52" s="4">
        <f t="shared" si="3"/>
        <v>0</v>
      </c>
      <c r="R52" s="4">
        <f t="shared" si="4"/>
        <v>0</v>
      </c>
      <c r="S52" s="4">
        <f t="shared" si="5"/>
        <v>0.91111315769772827</v>
      </c>
      <c r="T52" s="4">
        <f t="shared" si="6"/>
        <v>9.3088176814930576E-2</v>
      </c>
    </row>
    <row r="53" spans="1:20" x14ac:dyDescent="0.25">
      <c r="A53" s="4">
        <v>50</v>
      </c>
      <c r="B53" s="4">
        <v>1</v>
      </c>
      <c r="C53" s="4">
        <v>4</v>
      </c>
      <c r="D53" s="4">
        <v>150</v>
      </c>
      <c r="E53" s="4">
        <v>243</v>
      </c>
      <c r="F53" s="4">
        <v>0</v>
      </c>
      <c r="G53" s="4">
        <v>2</v>
      </c>
      <c r="H53" s="4">
        <v>128</v>
      </c>
      <c r="I53" s="4">
        <v>0</v>
      </c>
      <c r="J53" s="4">
        <v>2.6</v>
      </c>
      <c r="K53" s="4">
        <v>2</v>
      </c>
      <c r="L53" s="4">
        <v>0</v>
      </c>
      <c r="M53" s="4">
        <v>7</v>
      </c>
      <c r="N53" s="4">
        <v>1</v>
      </c>
      <c r="O53" s="4">
        <f t="shared" si="1"/>
        <v>2.3917921398000015</v>
      </c>
      <c r="P53" s="4">
        <f t="shared" si="2"/>
        <v>0.91619926798720042</v>
      </c>
      <c r="Q53" s="4">
        <f t="shared" si="3"/>
        <v>1</v>
      </c>
      <c r="R53" s="4">
        <f t="shared" si="4"/>
        <v>0</v>
      </c>
      <c r="S53" s="4">
        <f t="shared" si="5"/>
        <v>0.91619926798720042</v>
      </c>
      <c r="T53" s="4">
        <f t="shared" si="6"/>
        <v>8.7521396495978607E-2</v>
      </c>
    </row>
    <row r="54" spans="1:20" x14ac:dyDescent="0.25">
      <c r="A54" s="4">
        <v>65</v>
      </c>
      <c r="B54" s="4">
        <v>0</v>
      </c>
      <c r="C54" s="4">
        <v>3</v>
      </c>
      <c r="D54" s="4">
        <v>140</v>
      </c>
      <c r="E54" s="4">
        <v>417</v>
      </c>
      <c r="F54" s="4">
        <v>1</v>
      </c>
      <c r="G54" s="4">
        <v>2</v>
      </c>
      <c r="H54" s="4">
        <v>157</v>
      </c>
      <c r="I54" s="4">
        <v>0</v>
      </c>
      <c r="J54" s="4">
        <v>0.8</v>
      </c>
      <c r="K54" s="4">
        <v>1</v>
      </c>
      <c r="L54" s="4">
        <v>1</v>
      </c>
      <c r="M54" s="4">
        <v>3</v>
      </c>
      <c r="N54" s="4">
        <v>0</v>
      </c>
      <c r="O54" s="4">
        <f t="shared" si="1"/>
        <v>-1.8244221705999992</v>
      </c>
      <c r="P54" s="4">
        <f t="shared" si="2"/>
        <v>0.1389040931554249</v>
      </c>
      <c r="Q54" s="4">
        <f t="shared" si="3"/>
        <v>0</v>
      </c>
      <c r="R54" s="4">
        <f t="shared" si="4"/>
        <v>0</v>
      </c>
      <c r="S54" s="4">
        <f t="shared" si="5"/>
        <v>0.86109590684457515</v>
      </c>
      <c r="T54" s="4">
        <f t="shared" si="6"/>
        <v>0.14954939069443293</v>
      </c>
    </row>
    <row r="55" spans="1:20" x14ac:dyDescent="0.25">
      <c r="A55" s="4">
        <v>53</v>
      </c>
      <c r="B55" s="4">
        <v>1</v>
      </c>
      <c r="C55" s="4">
        <v>3</v>
      </c>
      <c r="D55" s="4">
        <v>130</v>
      </c>
      <c r="E55" s="4">
        <v>197</v>
      </c>
      <c r="F55" s="4">
        <v>1</v>
      </c>
      <c r="G55" s="4">
        <v>2</v>
      </c>
      <c r="H55" s="4">
        <v>152</v>
      </c>
      <c r="I55" s="4">
        <v>0</v>
      </c>
      <c r="J55" s="4">
        <v>1.2</v>
      </c>
      <c r="K55" s="4">
        <v>3</v>
      </c>
      <c r="L55" s="4">
        <v>0</v>
      </c>
      <c r="M55" s="4">
        <v>3</v>
      </c>
      <c r="N55" s="4">
        <v>0</v>
      </c>
      <c r="O55" s="4">
        <f t="shared" si="1"/>
        <v>-1.6072078333999995</v>
      </c>
      <c r="P55" s="4">
        <f t="shared" si="2"/>
        <v>0.16697663015174327</v>
      </c>
      <c r="Q55" s="4">
        <f t="shared" si="3"/>
        <v>0</v>
      </c>
      <c r="R55" s="4">
        <f t="shared" si="4"/>
        <v>0</v>
      </c>
      <c r="S55" s="4">
        <f t="shared" si="5"/>
        <v>0.83302336984825676</v>
      </c>
      <c r="T55" s="4">
        <f t="shared" si="6"/>
        <v>0.18269358216890555</v>
      </c>
    </row>
    <row r="56" spans="1:20" x14ac:dyDescent="0.25">
      <c r="A56" s="4">
        <v>41</v>
      </c>
      <c r="B56" s="4">
        <v>0</v>
      </c>
      <c r="C56" s="4">
        <v>2</v>
      </c>
      <c r="D56" s="4">
        <v>105</v>
      </c>
      <c r="E56" s="4">
        <v>198</v>
      </c>
      <c r="F56" s="4">
        <v>0</v>
      </c>
      <c r="G56" s="4">
        <v>0</v>
      </c>
      <c r="H56" s="4">
        <v>168</v>
      </c>
      <c r="I56" s="4">
        <v>0</v>
      </c>
      <c r="J56" s="4">
        <v>0</v>
      </c>
      <c r="K56" s="4">
        <v>1</v>
      </c>
      <c r="L56" s="4">
        <v>1</v>
      </c>
      <c r="M56" s="4">
        <v>3</v>
      </c>
      <c r="N56" s="4">
        <v>0</v>
      </c>
      <c r="O56" s="4">
        <f t="shared" si="1"/>
        <v>-3.8896465509999998</v>
      </c>
      <c r="P56" s="4">
        <f t="shared" si="2"/>
        <v>2.0042649927449401E-2</v>
      </c>
      <c r="Q56" s="4">
        <f t="shared" si="3"/>
        <v>0</v>
      </c>
      <c r="R56" s="4">
        <f t="shared" si="4"/>
        <v>0</v>
      </c>
      <c r="S56" s="4">
        <f t="shared" si="5"/>
        <v>0.97995735007255058</v>
      </c>
      <c r="T56" s="4">
        <f t="shared" si="6"/>
        <v>2.0246228598688725E-2</v>
      </c>
    </row>
    <row r="57" spans="1:20" x14ac:dyDescent="0.25">
      <c r="A57" s="4">
        <v>65</v>
      </c>
      <c r="B57" s="4">
        <v>1</v>
      </c>
      <c r="C57" s="4">
        <v>4</v>
      </c>
      <c r="D57" s="4">
        <v>120</v>
      </c>
      <c r="E57" s="4">
        <v>177</v>
      </c>
      <c r="F57" s="4">
        <v>0</v>
      </c>
      <c r="G57" s="4">
        <v>0</v>
      </c>
      <c r="H57" s="4">
        <v>140</v>
      </c>
      <c r="I57" s="4">
        <v>0</v>
      </c>
      <c r="J57" s="4">
        <v>0.4</v>
      </c>
      <c r="K57" s="4">
        <v>1</v>
      </c>
      <c r="L57" s="4">
        <v>0</v>
      </c>
      <c r="M57" s="4">
        <v>7</v>
      </c>
      <c r="N57" s="4">
        <v>0</v>
      </c>
      <c r="O57" s="4">
        <f t="shared" si="1"/>
        <v>-0.72421003880000079</v>
      </c>
      <c r="P57" s="4">
        <f t="shared" si="2"/>
        <v>0.32646657825602715</v>
      </c>
      <c r="Q57" s="4">
        <f t="shared" si="3"/>
        <v>0</v>
      </c>
      <c r="R57" s="4">
        <f t="shared" si="4"/>
        <v>0</v>
      </c>
      <c r="S57" s="4">
        <f t="shared" si="5"/>
        <v>0.67353342174397279</v>
      </c>
      <c r="T57" s="4">
        <f t="shared" si="6"/>
        <v>0.39521766039268286</v>
      </c>
    </row>
    <row r="58" spans="1:20" x14ac:dyDescent="0.25">
      <c r="A58" s="4">
        <v>44</v>
      </c>
      <c r="B58" s="4">
        <v>1</v>
      </c>
      <c r="C58" s="4">
        <v>4</v>
      </c>
      <c r="D58" s="4">
        <v>112</v>
      </c>
      <c r="E58" s="4">
        <v>290</v>
      </c>
      <c r="F58" s="4">
        <v>0</v>
      </c>
      <c r="G58" s="4">
        <v>2</v>
      </c>
      <c r="H58" s="4">
        <v>153</v>
      </c>
      <c r="I58" s="4">
        <v>0</v>
      </c>
      <c r="J58" s="4">
        <v>0</v>
      </c>
      <c r="K58" s="4">
        <v>1</v>
      </c>
      <c r="L58" s="4">
        <v>1</v>
      </c>
      <c r="M58" s="4">
        <v>3</v>
      </c>
      <c r="N58" s="4">
        <v>1</v>
      </c>
      <c r="O58" s="4">
        <f t="shared" si="1"/>
        <v>-4.0017311999999805E-2</v>
      </c>
      <c r="P58" s="4">
        <f t="shared" si="2"/>
        <v>0.48999700685152198</v>
      </c>
      <c r="Q58" s="4">
        <f t="shared" si="3"/>
        <v>0</v>
      </c>
      <c r="R58" s="4">
        <f t="shared" si="4"/>
        <v>1</v>
      </c>
      <c r="S58" s="4">
        <f t="shared" si="5"/>
        <v>0.48999700685152198</v>
      </c>
      <c r="T58" s="4">
        <f t="shared" si="6"/>
        <v>0.71335599636240321</v>
      </c>
    </row>
    <row r="59" spans="1:20" x14ac:dyDescent="0.25">
      <c r="A59" s="4">
        <v>44</v>
      </c>
      <c r="B59" s="4">
        <v>1</v>
      </c>
      <c r="C59" s="4">
        <v>2</v>
      </c>
      <c r="D59" s="4">
        <v>130</v>
      </c>
      <c r="E59" s="4">
        <v>219</v>
      </c>
      <c r="F59" s="4">
        <v>0</v>
      </c>
      <c r="G59" s="4">
        <v>2</v>
      </c>
      <c r="H59" s="4">
        <v>188</v>
      </c>
      <c r="I59" s="4">
        <v>0</v>
      </c>
      <c r="J59" s="4">
        <v>0</v>
      </c>
      <c r="K59" s="4">
        <v>1</v>
      </c>
      <c r="L59" s="4">
        <v>0</v>
      </c>
      <c r="M59" s="4">
        <v>3</v>
      </c>
      <c r="N59" s="4">
        <v>0</v>
      </c>
      <c r="O59" s="4">
        <f t="shared" si="1"/>
        <v>-3.1046836359999999</v>
      </c>
      <c r="P59" s="4">
        <f t="shared" si="2"/>
        <v>4.2914472439743029E-2</v>
      </c>
      <c r="Q59" s="4">
        <f t="shared" si="3"/>
        <v>0</v>
      </c>
      <c r="R59" s="4">
        <f t="shared" si="4"/>
        <v>0</v>
      </c>
      <c r="S59" s="4">
        <f t="shared" si="5"/>
        <v>0.957085527560257</v>
      </c>
      <c r="T59" s="4">
        <f t="shared" si="6"/>
        <v>4.386252103110061E-2</v>
      </c>
    </row>
    <row r="60" spans="1:20" x14ac:dyDescent="0.25">
      <c r="A60" s="4">
        <v>60</v>
      </c>
      <c r="B60" s="4">
        <v>1</v>
      </c>
      <c r="C60" s="4">
        <v>4</v>
      </c>
      <c r="D60" s="4">
        <v>130</v>
      </c>
      <c r="E60" s="4">
        <v>253</v>
      </c>
      <c r="F60" s="4">
        <v>0</v>
      </c>
      <c r="G60" s="4">
        <v>0</v>
      </c>
      <c r="H60" s="4">
        <v>144</v>
      </c>
      <c r="I60" s="4">
        <v>1</v>
      </c>
      <c r="J60" s="4">
        <v>1.4</v>
      </c>
      <c r="K60" s="4">
        <v>1</v>
      </c>
      <c r="L60" s="4">
        <v>1</v>
      </c>
      <c r="M60" s="4">
        <v>7</v>
      </c>
      <c r="N60" s="4">
        <v>1</v>
      </c>
      <c r="O60" s="4">
        <f t="shared" si="1"/>
        <v>2.3252638662000003</v>
      </c>
      <c r="P60" s="4">
        <f t="shared" si="2"/>
        <v>0.91094787989731452</v>
      </c>
      <c r="Q60" s="4">
        <f t="shared" si="3"/>
        <v>1</v>
      </c>
      <c r="R60" s="4">
        <f t="shared" si="4"/>
        <v>0</v>
      </c>
      <c r="S60" s="4">
        <f t="shared" si="5"/>
        <v>0.91094787989731452</v>
      </c>
      <c r="T60" s="4">
        <f t="shared" si="6"/>
        <v>9.3269595326667398E-2</v>
      </c>
    </row>
    <row r="61" spans="1:20" x14ac:dyDescent="0.25">
      <c r="A61" s="4">
        <v>54</v>
      </c>
      <c r="B61" s="4">
        <v>1</v>
      </c>
      <c r="C61" s="4">
        <v>4</v>
      </c>
      <c r="D61" s="4">
        <v>124</v>
      </c>
      <c r="E61" s="4">
        <v>266</v>
      </c>
      <c r="F61" s="4">
        <v>0</v>
      </c>
      <c r="G61" s="4">
        <v>2</v>
      </c>
      <c r="H61" s="4">
        <v>109</v>
      </c>
      <c r="I61" s="4">
        <v>1</v>
      </c>
      <c r="J61" s="4">
        <v>2.2000000000000002</v>
      </c>
      <c r="K61" s="4">
        <v>2</v>
      </c>
      <c r="L61" s="4">
        <v>1</v>
      </c>
      <c r="M61" s="4">
        <v>7</v>
      </c>
      <c r="N61" s="4">
        <v>1</v>
      </c>
      <c r="O61" s="4">
        <f t="shared" si="1"/>
        <v>4.3123866945999989</v>
      </c>
      <c r="P61" s="4">
        <f t="shared" si="2"/>
        <v>0.98677569975970114</v>
      </c>
      <c r="Q61" s="4">
        <f t="shared" si="3"/>
        <v>1</v>
      </c>
      <c r="R61" s="4">
        <f t="shared" si="4"/>
        <v>0</v>
      </c>
      <c r="S61" s="4">
        <f t="shared" si="5"/>
        <v>0.98677569975970114</v>
      </c>
      <c r="T61" s="4">
        <f t="shared" si="6"/>
        <v>1.3312519924325014E-2</v>
      </c>
    </row>
    <row r="62" spans="1:20" x14ac:dyDescent="0.25">
      <c r="A62" s="4">
        <v>50</v>
      </c>
      <c r="B62" s="4">
        <v>1</v>
      </c>
      <c r="C62" s="4">
        <v>3</v>
      </c>
      <c r="D62" s="4">
        <v>140</v>
      </c>
      <c r="E62" s="4">
        <v>233</v>
      </c>
      <c r="F62" s="4">
        <v>0</v>
      </c>
      <c r="G62" s="4">
        <v>0</v>
      </c>
      <c r="H62" s="4">
        <v>163</v>
      </c>
      <c r="I62" s="4">
        <v>0</v>
      </c>
      <c r="J62" s="4">
        <v>0.6</v>
      </c>
      <c r="K62" s="4">
        <v>2</v>
      </c>
      <c r="L62" s="4">
        <v>1</v>
      </c>
      <c r="M62" s="4">
        <v>7</v>
      </c>
      <c r="N62" s="4">
        <v>1</v>
      </c>
      <c r="O62" s="4">
        <f t="shared" si="1"/>
        <v>1.0848838858000001</v>
      </c>
      <c r="P62" s="4">
        <f t="shared" si="2"/>
        <v>0.74741710025642749</v>
      </c>
      <c r="Q62" s="4">
        <f t="shared" si="3"/>
        <v>1</v>
      </c>
      <c r="R62" s="4">
        <f t="shared" si="4"/>
        <v>0</v>
      </c>
      <c r="S62" s="4">
        <f t="shared" si="5"/>
        <v>0.74741710025642749</v>
      </c>
      <c r="T62" s="4">
        <f t="shared" si="6"/>
        <v>0.29113188253443767</v>
      </c>
    </row>
    <row r="63" spans="1:20" x14ac:dyDescent="0.25">
      <c r="A63" s="4">
        <v>41</v>
      </c>
      <c r="B63" s="4">
        <v>1</v>
      </c>
      <c r="C63" s="4">
        <v>4</v>
      </c>
      <c r="D63" s="4">
        <v>110</v>
      </c>
      <c r="E63" s="4">
        <v>172</v>
      </c>
      <c r="F63" s="4">
        <v>0</v>
      </c>
      <c r="G63" s="4">
        <v>2</v>
      </c>
      <c r="H63" s="4">
        <v>158</v>
      </c>
      <c r="I63" s="4">
        <v>0</v>
      </c>
      <c r="J63" s="4">
        <v>0</v>
      </c>
      <c r="K63" s="4">
        <v>1</v>
      </c>
      <c r="L63" s="4">
        <v>0</v>
      </c>
      <c r="M63" s="4">
        <v>7</v>
      </c>
      <c r="N63" s="4">
        <v>1</v>
      </c>
      <c r="O63" s="4">
        <f t="shared" si="1"/>
        <v>-0.63038895599999911</v>
      </c>
      <c r="P63" s="4">
        <f t="shared" si="2"/>
        <v>0.3474223484469291</v>
      </c>
      <c r="Q63" s="4">
        <f t="shared" si="3"/>
        <v>0</v>
      </c>
      <c r="R63" s="4">
        <f t="shared" si="4"/>
        <v>1</v>
      </c>
      <c r="S63" s="4">
        <f t="shared" si="5"/>
        <v>0.3474223484469291</v>
      </c>
      <c r="T63" s="4">
        <f t="shared" si="6"/>
        <v>1.0572140966543624</v>
      </c>
    </row>
    <row r="64" spans="1:20" x14ac:dyDescent="0.25">
      <c r="A64" s="4">
        <v>54</v>
      </c>
      <c r="B64" s="4">
        <v>1</v>
      </c>
      <c r="C64" s="4">
        <v>3</v>
      </c>
      <c r="D64" s="4">
        <v>125</v>
      </c>
      <c r="E64" s="4">
        <v>273</v>
      </c>
      <c r="F64" s="4">
        <v>0</v>
      </c>
      <c r="G64" s="4">
        <v>2</v>
      </c>
      <c r="H64" s="4">
        <v>152</v>
      </c>
      <c r="I64" s="4">
        <v>0</v>
      </c>
      <c r="J64" s="4">
        <v>0.5</v>
      </c>
      <c r="K64" s="4">
        <v>3</v>
      </c>
      <c r="L64" s="4">
        <v>1</v>
      </c>
      <c r="M64" s="4">
        <v>3</v>
      </c>
      <c r="N64" s="4">
        <v>0</v>
      </c>
      <c r="O64" s="4">
        <f t="shared" si="1"/>
        <v>0.7545549230000006</v>
      </c>
      <c r="P64" s="4">
        <f t="shared" si="2"/>
        <v>0.68017038302150967</v>
      </c>
      <c r="Q64" s="4">
        <f t="shared" si="3"/>
        <v>1</v>
      </c>
      <c r="R64" s="4">
        <f t="shared" si="4"/>
        <v>1</v>
      </c>
      <c r="S64" s="4">
        <f t="shared" si="5"/>
        <v>0.31982961697849033</v>
      </c>
      <c r="T64" s="4">
        <f t="shared" si="6"/>
        <v>1.139966871930792</v>
      </c>
    </row>
    <row r="65" spans="1:20" x14ac:dyDescent="0.25">
      <c r="A65" s="4">
        <v>51</v>
      </c>
      <c r="B65" s="4">
        <v>1</v>
      </c>
      <c r="C65" s="4">
        <v>1</v>
      </c>
      <c r="D65" s="4">
        <v>125</v>
      </c>
      <c r="E65" s="4">
        <v>213</v>
      </c>
      <c r="F65" s="4">
        <v>0</v>
      </c>
      <c r="G65" s="4">
        <v>2</v>
      </c>
      <c r="H65" s="4">
        <v>125</v>
      </c>
      <c r="I65" s="4">
        <v>1</v>
      </c>
      <c r="J65" s="4">
        <v>1.4</v>
      </c>
      <c r="K65" s="4">
        <v>1</v>
      </c>
      <c r="L65" s="4">
        <v>1</v>
      </c>
      <c r="M65" s="4">
        <v>3</v>
      </c>
      <c r="N65" s="4">
        <v>0</v>
      </c>
      <c r="O65" s="4">
        <f t="shared" si="1"/>
        <v>-8.7911544799999852E-2</v>
      </c>
      <c r="P65" s="4">
        <f t="shared" si="2"/>
        <v>0.47803625743331474</v>
      </c>
      <c r="Q65" s="4">
        <f t="shared" si="3"/>
        <v>0</v>
      </c>
      <c r="R65" s="4">
        <f t="shared" si="4"/>
        <v>0</v>
      </c>
      <c r="S65" s="4">
        <f t="shared" si="5"/>
        <v>0.52196374256668521</v>
      </c>
      <c r="T65" s="4">
        <f t="shared" si="6"/>
        <v>0.6501571521963756</v>
      </c>
    </row>
    <row r="66" spans="1:20" x14ac:dyDescent="0.25">
      <c r="A66" s="4">
        <v>51</v>
      </c>
      <c r="B66" s="4">
        <v>0</v>
      </c>
      <c r="C66" s="4">
        <v>4</v>
      </c>
      <c r="D66" s="4">
        <v>130</v>
      </c>
      <c r="E66" s="4">
        <v>305</v>
      </c>
      <c r="F66" s="4">
        <v>0</v>
      </c>
      <c r="G66" s="4">
        <v>0</v>
      </c>
      <c r="H66" s="4">
        <v>142</v>
      </c>
      <c r="I66" s="4">
        <v>1</v>
      </c>
      <c r="J66" s="4">
        <v>1.2</v>
      </c>
      <c r="K66" s="4">
        <v>2</v>
      </c>
      <c r="L66" s="4">
        <v>0</v>
      </c>
      <c r="M66" s="4">
        <v>7</v>
      </c>
      <c r="N66" s="4">
        <v>1</v>
      </c>
      <c r="O66" s="4">
        <f t="shared" si="1"/>
        <v>0.69452094860000102</v>
      </c>
      <c r="P66" s="4">
        <f t="shared" si="2"/>
        <v>0.66697187852362927</v>
      </c>
      <c r="Q66" s="4">
        <f t="shared" si="3"/>
        <v>1</v>
      </c>
      <c r="R66" s="4">
        <f t="shared" si="4"/>
        <v>0</v>
      </c>
      <c r="S66" s="4">
        <f t="shared" si="5"/>
        <v>0.66697187852362927</v>
      </c>
      <c r="T66" s="4">
        <f t="shared" si="6"/>
        <v>0.40500739508930805</v>
      </c>
    </row>
    <row r="67" spans="1:20" x14ac:dyDescent="0.25">
      <c r="A67" s="4">
        <v>46</v>
      </c>
      <c r="B67" s="4">
        <v>0</v>
      </c>
      <c r="C67" s="4">
        <v>3</v>
      </c>
      <c r="D67" s="4">
        <v>142</v>
      </c>
      <c r="E67" s="4">
        <v>177</v>
      </c>
      <c r="F67" s="4">
        <v>0</v>
      </c>
      <c r="G67" s="4">
        <v>2</v>
      </c>
      <c r="H67" s="4">
        <v>160</v>
      </c>
      <c r="I67" s="4">
        <v>1</v>
      </c>
      <c r="J67" s="4">
        <v>1.4</v>
      </c>
      <c r="K67" s="4">
        <v>3</v>
      </c>
      <c r="L67" s="4">
        <v>0</v>
      </c>
      <c r="M67" s="4">
        <v>3</v>
      </c>
      <c r="N67" s="4">
        <v>0</v>
      </c>
      <c r="O67" s="4">
        <f t="shared" si="1"/>
        <v>-0.79935631079999947</v>
      </c>
      <c r="P67" s="4">
        <f t="shared" si="2"/>
        <v>0.31016322706863919</v>
      </c>
      <c r="Q67" s="4">
        <f t="shared" si="3"/>
        <v>0</v>
      </c>
      <c r="R67" s="4">
        <f t="shared" si="4"/>
        <v>0</v>
      </c>
      <c r="S67" s="4">
        <f t="shared" si="5"/>
        <v>0.68983677293136081</v>
      </c>
      <c r="T67" s="4">
        <f t="shared" si="6"/>
        <v>0.37130027034483387</v>
      </c>
    </row>
    <row r="68" spans="1:20" x14ac:dyDescent="0.25">
      <c r="A68" s="4">
        <v>58</v>
      </c>
      <c r="B68" s="4">
        <v>1</v>
      </c>
      <c r="C68" s="4">
        <v>4</v>
      </c>
      <c r="D68" s="4">
        <v>128</v>
      </c>
      <c r="E68" s="4">
        <v>216</v>
      </c>
      <c r="F68" s="4">
        <v>0</v>
      </c>
      <c r="G68" s="4">
        <v>2</v>
      </c>
      <c r="H68" s="4">
        <v>131</v>
      </c>
      <c r="I68" s="4">
        <v>1</v>
      </c>
      <c r="J68" s="4">
        <v>2.2000000000000002</v>
      </c>
      <c r="K68" s="4">
        <v>2</v>
      </c>
      <c r="L68" s="4">
        <v>3</v>
      </c>
      <c r="M68" s="4">
        <v>7</v>
      </c>
      <c r="N68" s="4">
        <v>1</v>
      </c>
      <c r="O68" s="4">
        <f t="shared" si="1"/>
        <v>6.1829876666000008</v>
      </c>
      <c r="P68" s="4">
        <f t="shared" si="2"/>
        <v>0.99794000101788238</v>
      </c>
      <c r="Q68" s="4">
        <f t="shared" si="3"/>
        <v>1</v>
      </c>
      <c r="R68" s="4">
        <f t="shared" si="4"/>
        <v>0</v>
      </c>
      <c r="S68" s="4">
        <f t="shared" si="5"/>
        <v>0.99794000101788238</v>
      </c>
      <c r="T68" s="4">
        <f t="shared" si="6"/>
        <v>2.0621236984645851E-3</v>
      </c>
    </row>
    <row r="69" spans="1:20" x14ac:dyDescent="0.25">
      <c r="A69" s="4">
        <v>54</v>
      </c>
      <c r="B69" s="4">
        <v>0</v>
      </c>
      <c r="C69" s="4">
        <v>3</v>
      </c>
      <c r="D69" s="4">
        <v>135</v>
      </c>
      <c r="E69" s="4">
        <v>304</v>
      </c>
      <c r="F69" s="4">
        <v>1</v>
      </c>
      <c r="G69" s="4">
        <v>0</v>
      </c>
      <c r="H69" s="4">
        <v>170</v>
      </c>
      <c r="I69" s="4">
        <v>0</v>
      </c>
      <c r="J69" s="4">
        <v>0</v>
      </c>
      <c r="K69" s="4">
        <v>1</v>
      </c>
      <c r="L69" s="4">
        <v>0</v>
      </c>
      <c r="M69" s="4">
        <v>3</v>
      </c>
      <c r="N69" s="4">
        <v>0</v>
      </c>
      <c r="O69" s="4">
        <f t="shared" si="1"/>
        <v>-4.5779391049999996</v>
      </c>
      <c r="P69" s="4">
        <f t="shared" si="2"/>
        <v>1.0171529187181191E-2</v>
      </c>
      <c r="Q69" s="4">
        <f t="shared" si="3"/>
        <v>0</v>
      </c>
      <c r="R69" s="4">
        <f t="shared" si="4"/>
        <v>0</v>
      </c>
      <c r="S69" s="4">
        <f t="shared" si="5"/>
        <v>0.98982847081281877</v>
      </c>
      <c r="T69" s="4">
        <f t="shared" si="6"/>
        <v>1.0223612670295559E-2</v>
      </c>
    </row>
    <row r="70" spans="1:20" x14ac:dyDescent="0.25">
      <c r="A70" s="4">
        <v>54</v>
      </c>
      <c r="B70" s="4">
        <v>1</v>
      </c>
      <c r="C70" s="4">
        <v>4</v>
      </c>
      <c r="D70" s="4">
        <v>120</v>
      </c>
      <c r="E70" s="4">
        <v>188</v>
      </c>
      <c r="F70" s="4">
        <v>0</v>
      </c>
      <c r="G70" s="4">
        <v>0</v>
      </c>
      <c r="H70" s="4">
        <v>113</v>
      </c>
      <c r="I70" s="4">
        <v>0</v>
      </c>
      <c r="J70" s="4">
        <v>1.4</v>
      </c>
      <c r="K70" s="4">
        <v>2</v>
      </c>
      <c r="L70" s="4">
        <v>1</v>
      </c>
      <c r="M70" s="4">
        <v>7</v>
      </c>
      <c r="N70" s="4">
        <v>1</v>
      </c>
      <c r="O70" s="4">
        <f t="shared" si="1"/>
        <v>2.1295731282000006</v>
      </c>
      <c r="P70" s="4">
        <f t="shared" si="2"/>
        <v>0.89374447713497585</v>
      </c>
      <c r="Q70" s="4">
        <f t="shared" si="3"/>
        <v>1</v>
      </c>
      <c r="R70" s="4">
        <f t="shared" si="4"/>
        <v>0</v>
      </c>
      <c r="S70" s="4">
        <f t="shared" si="5"/>
        <v>0.89374447713497585</v>
      </c>
      <c r="T70" s="4">
        <f t="shared" si="6"/>
        <v>0.11233536442241004</v>
      </c>
    </row>
    <row r="71" spans="1:20" x14ac:dyDescent="0.25">
      <c r="A71" s="4">
        <v>60</v>
      </c>
      <c r="B71" s="4">
        <v>1</v>
      </c>
      <c r="C71" s="4">
        <v>4</v>
      </c>
      <c r="D71" s="4">
        <v>145</v>
      </c>
      <c r="E71" s="4">
        <v>282</v>
      </c>
      <c r="F71" s="4">
        <v>0</v>
      </c>
      <c r="G71" s="4">
        <v>2</v>
      </c>
      <c r="H71" s="4">
        <v>142</v>
      </c>
      <c r="I71" s="4">
        <v>1</v>
      </c>
      <c r="J71" s="4">
        <v>2.8</v>
      </c>
      <c r="K71" s="4">
        <v>2</v>
      </c>
      <c r="L71" s="4">
        <v>2</v>
      </c>
      <c r="M71" s="4">
        <v>7</v>
      </c>
      <c r="N71" s="4">
        <v>1</v>
      </c>
      <c r="O71" s="4">
        <f t="shared" ref="O71:O134" si="7">SUMPRODUCT(A$4:M$4, A71:M71)+N$4</f>
        <v>5.5465349254000014</v>
      </c>
      <c r="P71" s="4">
        <f t="shared" ref="P71:P134" si="8">1/(1+EXP(0-O71))</f>
        <v>0.99611420734882994</v>
      </c>
      <c r="Q71" s="4">
        <f t="shared" ref="Q71:Q134" si="9">IF(P71&lt;=0.5, 0, 1)</f>
        <v>1</v>
      </c>
      <c r="R71" s="4">
        <f t="shared" ref="R71:R134" si="10">IF(N71=Q71, 0, 1)</f>
        <v>0</v>
      </c>
      <c r="S71" s="4">
        <f t="shared" ref="S71:S134" si="11">IF(N71=1, P71, 1-P71)</f>
        <v>0.99611420734882994</v>
      </c>
      <c r="T71" s="4">
        <f t="shared" ref="T71:T134" si="12">IF(S71=0, 1000000, -LN(S71))</f>
        <v>3.893361958302098E-3</v>
      </c>
    </row>
    <row r="72" spans="1:20" x14ac:dyDescent="0.25">
      <c r="A72" s="4">
        <v>60</v>
      </c>
      <c r="B72" s="4">
        <v>1</v>
      </c>
      <c r="C72" s="4">
        <v>3</v>
      </c>
      <c r="D72" s="4">
        <v>140</v>
      </c>
      <c r="E72" s="4">
        <v>185</v>
      </c>
      <c r="F72" s="4">
        <v>0</v>
      </c>
      <c r="G72" s="4">
        <v>2</v>
      </c>
      <c r="H72" s="4">
        <v>155</v>
      </c>
      <c r="I72" s="4">
        <v>0</v>
      </c>
      <c r="J72" s="4">
        <v>3</v>
      </c>
      <c r="K72" s="4">
        <v>2</v>
      </c>
      <c r="L72" s="4">
        <v>0</v>
      </c>
      <c r="M72" s="4">
        <v>3</v>
      </c>
      <c r="N72" s="4">
        <v>1</v>
      </c>
      <c r="O72" s="4">
        <f t="shared" si="7"/>
        <v>-0.69062714799999902</v>
      </c>
      <c r="P72" s="4">
        <f t="shared" si="8"/>
        <v>0.33389357557717181</v>
      </c>
      <c r="Q72" s="4">
        <f t="shared" si="9"/>
        <v>0</v>
      </c>
      <c r="R72" s="4">
        <f t="shared" si="10"/>
        <v>1</v>
      </c>
      <c r="S72" s="4">
        <f t="shared" si="11"/>
        <v>0.33389357557717181</v>
      </c>
      <c r="T72" s="4">
        <f t="shared" si="12"/>
        <v>1.0969329727771635</v>
      </c>
    </row>
    <row r="73" spans="1:20" x14ac:dyDescent="0.25">
      <c r="A73" s="4">
        <v>54</v>
      </c>
      <c r="B73" s="4">
        <v>1</v>
      </c>
      <c r="C73" s="4">
        <v>3</v>
      </c>
      <c r="D73" s="4">
        <v>150</v>
      </c>
      <c r="E73" s="4">
        <v>232</v>
      </c>
      <c r="F73" s="4">
        <v>0</v>
      </c>
      <c r="G73" s="4">
        <v>2</v>
      </c>
      <c r="H73" s="4">
        <v>165</v>
      </c>
      <c r="I73" s="4">
        <v>0</v>
      </c>
      <c r="J73" s="4">
        <v>1.6</v>
      </c>
      <c r="K73" s="4">
        <v>1</v>
      </c>
      <c r="L73" s="4">
        <v>0</v>
      </c>
      <c r="M73" s="4">
        <v>7</v>
      </c>
      <c r="N73" s="4">
        <v>0</v>
      </c>
      <c r="O73" s="4">
        <f t="shared" si="7"/>
        <v>0.12229689780000008</v>
      </c>
      <c r="P73" s="4">
        <f t="shared" si="8"/>
        <v>0.53053617433024614</v>
      </c>
      <c r="Q73" s="4">
        <f t="shared" si="9"/>
        <v>1</v>
      </c>
      <c r="R73" s="4">
        <f t="shared" si="10"/>
        <v>1</v>
      </c>
      <c r="S73" s="4">
        <f t="shared" si="11"/>
        <v>0.46946382566975386</v>
      </c>
      <c r="T73" s="4">
        <f t="shared" si="12"/>
        <v>0.75616403192893966</v>
      </c>
    </row>
    <row r="74" spans="1:20" x14ac:dyDescent="0.25">
      <c r="A74" s="4">
        <v>59</v>
      </c>
      <c r="B74" s="4">
        <v>1</v>
      </c>
      <c r="C74" s="4">
        <v>4</v>
      </c>
      <c r="D74" s="4">
        <v>170</v>
      </c>
      <c r="E74" s="4">
        <v>326</v>
      </c>
      <c r="F74" s="4">
        <v>0</v>
      </c>
      <c r="G74" s="4">
        <v>2</v>
      </c>
      <c r="H74" s="4">
        <v>140</v>
      </c>
      <c r="I74" s="4">
        <v>1</v>
      </c>
      <c r="J74" s="4">
        <v>3.4</v>
      </c>
      <c r="K74" s="4">
        <v>3</v>
      </c>
      <c r="L74" s="4">
        <v>0</v>
      </c>
      <c r="M74" s="4">
        <v>7</v>
      </c>
      <c r="N74" s="4">
        <v>1</v>
      </c>
      <c r="O74" s="4">
        <f t="shared" si="7"/>
        <v>4.6059664252000001</v>
      </c>
      <c r="P74" s="4">
        <f t="shared" si="8"/>
        <v>0.99010681235731623</v>
      </c>
      <c r="Q74" s="4">
        <f t="shared" si="9"/>
        <v>1</v>
      </c>
      <c r="R74" s="4">
        <f t="shared" si="10"/>
        <v>0</v>
      </c>
      <c r="S74" s="4">
        <f t="shared" si="11"/>
        <v>0.99010681235731623</v>
      </c>
      <c r="T74" s="4">
        <f t="shared" si="12"/>
        <v>9.9424504033295124E-3</v>
      </c>
    </row>
    <row r="75" spans="1:20" x14ac:dyDescent="0.25">
      <c r="A75" s="4">
        <v>46</v>
      </c>
      <c r="B75" s="4">
        <v>1</v>
      </c>
      <c r="C75" s="4">
        <v>3</v>
      </c>
      <c r="D75" s="4">
        <v>150</v>
      </c>
      <c r="E75" s="4">
        <v>231</v>
      </c>
      <c r="F75" s="4">
        <v>0</v>
      </c>
      <c r="G75" s="4">
        <v>0</v>
      </c>
      <c r="H75" s="4">
        <v>147</v>
      </c>
      <c r="I75" s="4">
        <v>0</v>
      </c>
      <c r="J75" s="4">
        <v>3.6</v>
      </c>
      <c r="K75" s="4">
        <v>2</v>
      </c>
      <c r="L75" s="4">
        <v>0</v>
      </c>
      <c r="M75" s="4">
        <v>3</v>
      </c>
      <c r="N75" s="4">
        <v>1</v>
      </c>
      <c r="O75" s="4">
        <f t="shared" si="7"/>
        <v>-0.19870826120000018</v>
      </c>
      <c r="P75" s="4">
        <f t="shared" si="8"/>
        <v>0.45048574998661201</v>
      </c>
      <c r="Q75" s="4">
        <f t="shared" si="9"/>
        <v>0</v>
      </c>
      <c r="R75" s="4">
        <f t="shared" si="10"/>
        <v>1</v>
      </c>
      <c r="S75" s="4">
        <f t="shared" si="11"/>
        <v>0.45048574998661201</v>
      </c>
      <c r="T75" s="4">
        <f t="shared" si="12"/>
        <v>0.79742883398428333</v>
      </c>
    </row>
    <row r="76" spans="1:20" x14ac:dyDescent="0.25">
      <c r="A76" s="4">
        <v>65</v>
      </c>
      <c r="B76" s="4">
        <v>0</v>
      </c>
      <c r="C76" s="4">
        <v>3</v>
      </c>
      <c r="D76" s="4">
        <v>155</v>
      </c>
      <c r="E76" s="4">
        <v>269</v>
      </c>
      <c r="F76" s="4">
        <v>0</v>
      </c>
      <c r="G76" s="4">
        <v>0</v>
      </c>
      <c r="H76" s="4">
        <v>148</v>
      </c>
      <c r="I76" s="4">
        <v>0</v>
      </c>
      <c r="J76" s="4">
        <v>0.8</v>
      </c>
      <c r="K76" s="4">
        <v>1</v>
      </c>
      <c r="L76" s="4">
        <v>0</v>
      </c>
      <c r="M76" s="4">
        <v>3</v>
      </c>
      <c r="N76" s="4">
        <v>0</v>
      </c>
      <c r="O76" s="4">
        <f t="shared" si="7"/>
        <v>-2.7531986415999992</v>
      </c>
      <c r="P76" s="4">
        <f t="shared" si="8"/>
        <v>5.9906256898193407E-2</v>
      </c>
      <c r="Q76" s="4">
        <f t="shared" si="9"/>
        <v>0</v>
      </c>
      <c r="R76" s="4">
        <f t="shared" si="10"/>
        <v>0</v>
      </c>
      <c r="S76" s="4">
        <f t="shared" si="11"/>
        <v>0.9400937431018066</v>
      </c>
      <c r="T76" s="4">
        <f t="shared" si="12"/>
        <v>6.1775681986415067E-2</v>
      </c>
    </row>
    <row r="77" spans="1:20" x14ac:dyDescent="0.25">
      <c r="A77" s="4">
        <v>67</v>
      </c>
      <c r="B77" s="4">
        <v>1</v>
      </c>
      <c r="C77" s="4">
        <v>4</v>
      </c>
      <c r="D77" s="4">
        <v>125</v>
      </c>
      <c r="E77" s="4">
        <v>254</v>
      </c>
      <c r="F77" s="4">
        <v>1</v>
      </c>
      <c r="G77" s="4">
        <v>0</v>
      </c>
      <c r="H77" s="4">
        <v>163</v>
      </c>
      <c r="I77" s="4">
        <v>0</v>
      </c>
      <c r="J77" s="4">
        <v>0.2</v>
      </c>
      <c r="K77" s="4">
        <v>2</v>
      </c>
      <c r="L77" s="4">
        <v>2</v>
      </c>
      <c r="M77" s="4">
        <v>7</v>
      </c>
      <c r="N77" s="4">
        <v>1</v>
      </c>
      <c r="O77" s="4">
        <f t="shared" si="7"/>
        <v>1.3111424506000002</v>
      </c>
      <c r="P77" s="4">
        <f t="shared" si="8"/>
        <v>0.78770426640785984</v>
      </c>
      <c r="Q77" s="4">
        <f t="shared" si="9"/>
        <v>1</v>
      </c>
      <c r="R77" s="4">
        <f t="shared" si="10"/>
        <v>0</v>
      </c>
      <c r="S77" s="4">
        <f t="shared" si="11"/>
        <v>0.78770426640785984</v>
      </c>
      <c r="T77" s="4">
        <f t="shared" si="12"/>
        <v>0.23863255600231653</v>
      </c>
    </row>
    <row r="78" spans="1:20" x14ac:dyDescent="0.25">
      <c r="A78" s="4">
        <v>62</v>
      </c>
      <c r="B78" s="4">
        <v>1</v>
      </c>
      <c r="C78" s="4">
        <v>4</v>
      </c>
      <c r="D78" s="4">
        <v>120</v>
      </c>
      <c r="E78" s="4">
        <v>267</v>
      </c>
      <c r="F78" s="4">
        <v>0</v>
      </c>
      <c r="G78" s="4">
        <v>0</v>
      </c>
      <c r="H78" s="4">
        <v>99</v>
      </c>
      <c r="I78" s="4">
        <v>1</v>
      </c>
      <c r="J78" s="4">
        <v>1.8</v>
      </c>
      <c r="K78" s="4">
        <v>2</v>
      </c>
      <c r="L78" s="4">
        <v>2</v>
      </c>
      <c r="M78" s="4">
        <v>7</v>
      </c>
      <c r="N78" s="4">
        <v>1</v>
      </c>
      <c r="O78" s="4">
        <f t="shared" si="7"/>
        <v>4.9930236844000007</v>
      </c>
      <c r="P78" s="4">
        <f t="shared" si="8"/>
        <v>0.99326061016089318</v>
      </c>
      <c r="Q78" s="4">
        <f t="shared" si="9"/>
        <v>1</v>
      </c>
      <c r="R78" s="4">
        <f t="shared" si="10"/>
        <v>0</v>
      </c>
      <c r="S78" s="4">
        <f t="shared" si="11"/>
        <v>0.99326061016089318</v>
      </c>
      <c r="T78" s="4">
        <f t="shared" si="12"/>
        <v>6.7622020782937692E-3</v>
      </c>
    </row>
    <row r="79" spans="1:20" x14ac:dyDescent="0.25">
      <c r="A79" s="4">
        <v>65</v>
      </c>
      <c r="B79" s="4">
        <v>1</v>
      </c>
      <c r="C79" s="4">
        <v>4</v>
      </c>
      <c r="D79" s="4">
        <v>110</v>
      </c>
      <c r="E79" s="4">
        <v>248</v>
      </c>
      <c r="F79" s="4">
        <v>0</v>
      </c>
      <c r="G79" s="4">
        <v>2</v>
      </c>
      <c r="H79" s="4">
        <v>158</v>
      </c>
      <c r="I79" s="4">
        <v>0</v>
      </c>
      <c r="J79" s="4">
        <v>0.6</v>
      </c>
      <c r="K79" s="4">
        <v>1</v>
      </c>
      <c r="L79" s="4">
        <v>2</v>
      </c>
      <c r="M79" s="4">
        <v>6</v>
      </c>
      <c r="N79" s="4">
        <v>1</v>
      </c>
      <c r="O79" s="4">
        <f t="shared" si="7"/>
        <v>1.7493618178000006</v>
      </c>
      <c r="P79" s="4">
        <f t="shared" si="8"/>
        <v>0.8518722904609386</v>
      </c>
      <c r="Q79" s="4">
        <f t="shared" si="9"/>
        <v>1</v>
      </c>
      <c r="R79" s="4">
        <f t="shared" si="10"/>
        <v>0</v>
      </c>
      <c r="S79" s="4">
        <f t="shared" si="11"/>
        <v>0.8518722904609386</v>
      </c>
      <c r="T79" s="4">
        <f t="shared" si="12"/>
        <v>0.16031865721321292</v>
      </c>
    </row>
    <row r="80" spans="1:20" x14ac:dyDescent="0.25">
      <c r="A80" s="4">
        <v>44</v>
      </c>
      <c r="B80" s="4">
        <v>1</v>
      </c>
      <c r="C80" s="4">
        <v>4</v>
      </c>
      <c r="D80" s="4">
        <v>110</v>
      </c>
      <c r="E80" s="4">
        <v>197</v>
      </c>
      <c r="F80" s="4">
        <v>0</v>
      </c>
      <c r="G80" s="4">
        <v>2</v>
      </c>
      <c r="H80" s="4">
        <v>177</v>
      </c>
      <c r="I80" s="4">
        <v>0</v>
      </c>
      <c r="J80" s="4">
        <v>0</v>
      </c>
      <c r="K80" s="4">
        <v>1</v>
      </c>
      <c r="L80" s="4">
        <v>1</v>
      </c>
      <c r="M80" s="4">
        <v>3</v>
      </c>
      <c r="N80" s="4">
        <v>1</v>
      </c>
      <c r="O80" s="4">
        <f t="shared" si="7"/>
        <v>-1.0486205099999983</v>
      </c>
      <c r="P80" s="4">
        <f t="shared" si="8"/>
        <v>0.25949008873478679</v>
      </c>
      <c r="Q80" s="4">
        <f t="shared" si="9"/>
        <v>0</v>
      </c>
      <c r="R80" s="4">
        <f t="shared" si="10"/>
        <v>1</v>
      </c>
      <c r="S80" s="4">
        <f t="shared" si="11"/>
        <v>0.25949008873478679</v>
      </c>
      <c r="T80" s="4">
        <f t="shared" si="12"/>
        <v>1.3490367708058353</v>
      </c>
    </row>
    <row r="81" spans="1:20" x14ac:dyDescent="0.25">
      <c r="A81" s="4">
        <v>65</v>
      </c>
      <c r="B81" s="4">
        <v>0</v>
      </c>
      <c r="C81" s="4">
        <v>3</v>
      </c>
      <c r="D81" s="4">
        <v>160</v>
      </c>
      <c r="E81" s="4">
        <v>360</v>
      </c>
      <c r="F81" s="4">
        <v>0</v>
      </c>
      <c r="G81" s="4">
        <v>2</v>
      </c>
      <c r="H81" s="4">
        <v>151</v>
      </c>
      <c r="I81" s="4">
        <v>0</v>
      </c>
      <c r="J81" s="4">
        <v>0.8</v>
      </c>
      <c r="K81" s="4">
        <v>1</v>
      </c>
      <c r="L81" s="4">
        <v>0</v>
      </c>
      <c r="M81" s="4">
        <v>3</v>
      </c>
      <c r="N81" s="4">
        <v>0</v>
      </c>
      <c r="O81" s="4">
        <f t="shared" si="7"/>
        <v>-1.7500729405999991</v>
      </c>
      <c r="P81" s="4">
        <f t="shared" si="8"/>
        <v>0.14803799832650261</v>
      </c>
      <c r="Q81" s="4">
        <f t="shared" si="9"/>
        <v>0</v>
      </c>
      <c r="R81" s="4">
        <f t="shared" si="10"/>
        <v>0</v>
      </c>
      <c r="S81" s="4">
        <f t="shared" si="11"/>
        <v>0.85196200167349745</v>
      </c>
      <c r="T81" s="4">
        <f t="shared" si="12"/>
        <v>0.16021335212215343</v>
      </c>
    </row>
    <row r="82" spans="1:20" x14ac:dyDescent="0.25">
      <c r="A82" s="4">
        <v>60</v>
      </c>
      <c r="B82" s="4">
        <v>1</v>
      </c>
      <c r="C82" s="4">
        <v>4</v>
      </c>
      <c r="D82" s="4">
        <v>125</v>
      </c>
      <c r="E82" s="4">
        <v>258</v>
      </c>
      <c r="F82" s="4">
        <v>0</v>
      </c>
      <c r="G82" s="4">
        <v>2</v>
      </c>
      <c r="H82" s="4">
        <v>141</v>
      </c>
      <c r="I82" s="4">
        <v>1</v>
      </c>
      <c r="J82" s="4">
        <v>2.8</v>
      </c>
      <c r="K82" s="4">
        <v>2</v>
      </c>
      <c r="L82" s="4">
        <v>1</v>
      </c>
      <c r="M82" s="4">
        <v>7</v>
      </c>
      <c r="N82" s="4">
        <v>1</v>
      </c>
      <c r="O82" s="4">
        <f t="shared" si="7"/>
        <v>3.6986926873999995</v>
      </c>
      <c r="P82" s="4">
        <f t="shared" si="8"/>
        <v>0.97584217887053482</v>
      </c>
      <c r="Q82" s="4">
        <f t="shared" si="9"/>
        <v>1</v>
      </c>
      <c r="R82" s="4">
        <f t="shared" si="10"/>
        <v>0</v>
      </c>
      <c r="S82" s="4">
        <f t="shared" si="11"/>
        <v>0.97584217887053482</v>
      </c>
      <c r="T82" s="4">
        <f t="shared" si="12"/>
        <v>2.4454407621129826E-2</v>
      </c>
    </row>
    <row r="83" spans="1:20" x14ac:dyDescent="0.25">
      <c r="A83" s="4">
        <v>51</v>
      </c>
      <c r="B83" s="4">
        <v>0</v>
      </c>
      <c r="C83" s="4">
        <v>3</v>
      </c>
      <c r="D83" s="4">
        <v>140</v>
      </c>
      <c r="E83" s="4">
        <v>308</v>
      </c>
      <c r="F83" s="4">
        <v>0</v>
      </c>
      <c r="G83" s="4">
        <v>2</v>
      </c>
      <c r="H83" s="4">
        <v>142</v>
      </c>
      <c r="I83" s="4">
        <v>0</v>
      </c>
      <c r="J83" s="4">
        <v>1.5</v>
      </c>
      <c r="K83" s="4">
        <v>1</v>
      </c>
      <c r="L83" s="4">
        <v>1</v>
      </c>
      <c r="M83" s="4">
        <v>3</v>
      </c>
      <c r="N83" s="4">
        <v>0</v>
      </c>
      <c r="O83" s="4">
        <f t="shared" si="7"/>
        <v>-0.66562175699999937</v>
      </c>
      <c r="P83" s="4">
        <f t="shared" si="8"/>
        <v>0.33947789478705803</v>
      </c>
      <c r="Q83" s="4">
        <f t="shared" si="9"/>
        <v>0</v>
      </c>
      <c r="R83" s="4">
        <f t="shared" si="10"/>
        <v>0</v>
      </c>
      <c r="S83" s="4">
        <f t="shared" si="11"/>
        <v>0.66052210521294197</v>
      </c>
      <c r="T83" s="4">
        <f t="shared" si="12"/>
        <v>0.41472468818698144</v>
      </c>
    </row>
    <row r="84" spans="1:20" x14ac:dyDescent="0.25">
      <c r="A84" s="4">
        <v>48</v>
      </c>
      <c r="B84" s="4">
        <v>1</v>
      </c>
      <c r="C84" s="4">
        <v>2</v>
      </c>
      <c r="D84" s="4">
        <v>130</v>
      </c>
      <c r="E84" s="4">
        <v>245</v>
      </c>
      <c r="F84" s="4">
        <v>0</v>
      </c>
      <c r="G84" s="4">
        <v>2</v>
      </c>
      <c r="H84" s="4">
        <v>180</v>
      </c>
      <c r="I84" s="4">
        <v>0</v>
      </c>
      <c r="J84" s="4">
        <v>0.2</v>
      </c>
      <c r="K84" s="4">
        <v>2</v>
      </c>
      <c r="L84" s="4">
        <v>0</v>
      </c>
      <c r="M84" s="4">
        <v>3</v>
      </c>
      <c r="N84" s="4">
        <v>0</v>
      </c>
      <c r="O84" s="4">
        <f t="shared" si="7"/>
        <v>-2.2466152193999989</v>
      </c>
      <c r="P84" s="4">
        <f t="shared" si="8"/>
        <v>9.5641829274752496E-2</v>
      </c>
      <c r="Q84" s="4">
        <f t="shared" si="9"/>
        <v>0</v>
      </c>
      <c r="R84" s="4">
        <f t="shared" si="10"/>
        <v>0</v>
      </c>
      <c r="S84" s="4">
        <f t="shared" si="11"/>
        <v>0.90435817072524749</v>
      </c>
      <c r="T84" s="4">
        <f t="shared" si="12"/>
        <v>0.10052979050457418</v>
      </c>
    </row>
    <row r="85" spans="1:20" x14ac:dyDescent="0.25">
      <c r="A85" s="4">
        <v>58</v>
      </c>
      <c r="B85" s="4">
        <v>1</v>
      </c>
      <c r="C85" s="4">
        <v>4</v>
      </c>
      <c r="D85" s="4">
        <v>150</v>
      </c>
      <c r="E85" s="4">
        <v>270</v>
      </c>
      <c r="F85" s="4">
        <v>0</v>
      </c>
      <c r="G85" s="4">
        <v>2</v>
      </c>
      <c r="H85" s="4">
        <v>111</v>
      </c>
      <c r="I85" s="4">
        <v>1</v>
      </c>
      <c r="J85" s="4">
        <v>0.8</v>
      </c>
      <c r="K85" s="4">
        <v>1</v>
      </c>
      <c r="L85" s="4">
        <v>0</v>
      </c>
      <c r="M85" s="4">
        <v>7</v>
      </c>
      <c r="N85" s="4">
        <v>1</v>
      </c>
      <c r="O85" s="4">
        <f t="shared" si="7"/>
        <v>2.6754611674</v>
      </c>
      <c r="P85" s="4">
        <f t="shared" si="8"/>
        <v>0.93556304114906075</v>
      </c>
      <c r="Q85" s="4">
        <f t="shared" si="9"/>
        <v>1</v>
      </c>
      <c r="R85" s="4">
        <f t="shared" si="10"/>
        <v>0</v>
      </c>
      <c r="S85" s="4">
        <f t="shared" si="11"/>
        <v>0.93556304114906075</v>
      </c>
      <c r="T85" s="4">
        <f t="shared" si="12"/>
        <v>6.6606747885781484E-2</v>
      </c>
    </row>
    <row r="86" spans="1:20" x14ac:dyDescent="0.25">
      <c r="A86" s="4">
        <v>45</v>
      </c>
      <c r="B86" s="4">
        <v>1</v>
      </c>
      <c r="C86" s="4">
        <v>4</v>
      </c>
      <c r="D86" s="4">
        <v>104</v>
      </c>
      <c r="E86" s="4">
        <v>208</v>
      </c>
      <c r="F86" s="4">
        <v>0</v>
      </c>
      <c r="G86" s="4">
        <v>2</v>
      </c>
      <c r="H86" s="4">
        <v>148</v>
      </c>
      <c r="I86" s="4">
        <v>1</v>
      </c>
      <c r="J86" s="4">
        <v>3</v>
      </c>
      <c r="K86" s="4">
        <v>2</v>
      </c>
      <c r="L86" s="4">
        <v>0</v>
      </c>
      <c r="M86" s="4">
        <v>3</v>
      </c>
      <c r="N86" s="4">
        <v>0</v>
      </c>
      <c r="O86" s="4">
        <f t="shared" si="7"/>
        <v>0.41774615900000178</v>
      </c>
      <c r="P86" s="4">
        <f t="shared" si="8"/>
        <v>0.60294379991878055</v>
      </c>
      <c r="Q86" s="4">
        <f t="shared" si="9"/>
        <v>1</v>
      </c>
      <c r="R86" s="4">
        <f t="shared" si="10"/>
        <v>1</v>
      </c>
      <c r="S86" s="4">
        <f t="shared" si="11"/>
        <v>0.39705620008121945</v>
      </c>
      <c r="T86" s="4">
        <f t="shared" si="12"/>
        <v>0.92367744639645999</v>
      </c>
    </row>
    <row r="87" spans="1:20" x14ac:dyDescent="0.25">
      <c r="A87" s="4">
        <v>53</v>
      </c>
      <c r="B87" s="4">
        <v>0</v>
      </c>
      <c r="C87" s="4">
        <v>4</v>
      </c>
      <c r="D87" s="4">
        <v>130</v>
      </c>
      <c r="E87" s="4">
        <v>264</v>
      </c>
      <c r="F87" s="4">
        <v>0</v>
      </c>
      <c r="G87" s="4">
        <v>2</v>
      </c>
      <c r="H87" s="4">
        <v>143</v>
      </c>
      <c r="I87" s="4">
        <v>0</v>
      </c>
      <c r="J87" s="4">
        <v>0.4</v>
      </c>
      <c r="K87" s="4">
        <v>2</v>
      </c>
      <c r="L87" s="4">
        <v>0</v>
      </c>
      <c r="M87" s="4">
        <v>3</v>
      </c>
      <c r="N87" s="4">
        <v>0</v>
      </c>
      <c r="O87" s="4">
        <f t="shared" si="7"/>
        <v>-1.5687453847999988</v>
      </c>
      <c r="P87" s="4">
        <f t="shared" si="8"/>
        <v>0.17239532060946794</v>
      </c>
      <c r="Q87" s="4">
        <f t="shared" si="9"/>
        <v>0</v>
      </c>
      <c r="R87" s="4">
        <f t="shared" si="10"/>
        <v>0</v>
      </c>
      <c r="S87" s="4">
        <f t="shared" si="11"/>
        <v>0.82760467939053206</v>
      </c>
      <c r="T87" s="4">
        <f t="shared" si="12"/>
        <v>0.18921967895741043</v>
      </c>
    </row>
    <row r="88" spans="1:20" x14ac:dyDescent="0.25">
      <c r="A88" s="4">
        <v>39</v>
      </c>
      <c r="B88" s="4">
        <v>1</v>
      </c>
      <c r="C88" s="4">
        <v>3</v>
      </c>
      <c r="D88" s="4">
        <v>140</v>
      </c>
      <c r="E88" s="4">
        <v>321</v>
      </c>
      <c r="F88" s="4">
        <v>0</v>
      </c>
      <c r="G88" s="4">
        <v>2</v>
      </c>
      <c r="H88" s="4">
        <v>182</v>
      </c>
      <c r="I88" s="4">
        <v>0</v>
      </c>
      <c r="J88" s="4">
        <v>0</v>
      </c>
      <c r="K88" s="4">
        <v>1</v>
      </c>
      <c r="L88" s="4">
        <v>0</v>
      </c>
      <c r="M88" s="4">
        <v>3</v>
      </c>
      <c r="N88" s="4">
        <v>0</v>
      </c>
      <c r="O88" s="4">
        <f t="shared" si="7"/>
        <v>-1.583997322000001</v>
      </c>
      <c r="P88" s="4">
        <f t="shared" si="8"/>
        <v>0.17023010849956138</v>
      </c>
      <c r="Q88" s="4">
        <f t="shared" si="9"/>
        <v>0</v>
      </c>
      <c r="R88" s="4">
        <f t="shared" si="10"/>
        <v>0</v>
      </c>
      <c r="S88" s="4">
        <f t="shared" si="11"/>
        <v>0.82976989150043856</v>
      </c>
      <c r="T88" s="4">
        <f t="shared" si="12"/>
        <v>0.1866068557854709</v>
      </c>
    </row>
    <row r="89" spans="1:20" x14ac:dyDescent="0.25">
      <c r="A89" s="4">
        <v>68</v>
      </c>
      <c r="B89" s="4">
        <v>1</v>
      </c>
      <c r="C89" s="4">
        <v>3</v>
      </c>
      <c r="D89" s="4">
        <v>180</v>
      </c>
      <c r="E89" s="4">
        <v>274</v>
      </c>
      <c r="F89" s="4">
        <v>1</v>
      </c>
      <c r="G89" s="4">
        <v>2</v>
      </c>
      <c r="H89" s="4">
        <v>150</v>
      </c>
      <c r="I89" s="4">
        <v>1</v>
      </c>
      <c r="J89" s="4">
        <v>1.6</v>
      </c>
      <c r="K89" s="4">
        <v>2</v>
      </c>
      <c r="L89" s="4">
        <v>0</v>
      </c>
      <c r="M89" s="4">
        <v>7</v>
      </c>
      <c r="N89" s="4">
        <v>1</v>
      </c>
      <c r="O89" s="4">
        <f t="shared" si="7"/>
        <v>1.6393813848000018</v>
      </c>
      <c r="P89" s="4">
        <f t="shared" si="8"/>
        <v>0.8374507447692392</v>
      </c>
      <c r="Q89" s="4">
        <f t="shared" si="9"/>
        <v>1</v>
      </c>
      <c r="R89" s="4">
        <f t="shared" si="10"/>
        <v>0</v>
      </c>
      <c r="S89" s="4">
        <f t="shared" si="11"/>
        <v>0.8374507447692392</v>
      </c>
      <c r="T89" s="4">
        <f t="shared" si="12"/>
        <v>0.17739282922825553</v>
      </c>
    </row>
    <row r="90" spans="1:20" x14ac:dyDescent="0.25">
      <c r="A90" s="4">
        <v>52</v>
      </c>
      <c r="B90" s="4">
        <v>1</v>
      </c>
      <c r="C90" s="4">
        <v>2</v>
      </c>
      <c r="D90" s="4">
        <v>120</v>
      </c>
      <c r="E90" s="4">
        <v>325</v>
      </c>
      <c r="F90" s="4">
        <v>0</v>
      </c>
      <c r="G90" s="4">
        <v>0</v>
      </c>
      <c r="H90" s="4">
        <v>172</v>
      </c>
      <c r="I90" s="4">
        <v>0</v>
      </c>
      <c r="J90" s="4">
        <v>0.2</v>
      </c>
      <c r="K90" s="4">
        <v>1</v>
      </c>
      <c r="L90" s="4">
        <v>0</v>
      </c>
      <c r="M90" s="4">
        <v>3</v>
      </c>
      <c r="N90" s="4">
        <v>0</v>
      </c>
      <c r="O90" s="4">
        <f t="shared" si="7"/>
        <v>-3.039095400399999</v>
      </c>
      <c r="P90" s="4">
        <f t="shared" si="8"/>
        <v>4.5690597805084214E-2</v>
      </c>
      <c r="Q90" s="4">
        <f t="shared" si="9"/>
        <v>0</v>
      </c>
      <c r="R90" s="4">
        <f t="shared" si="10"/>
        <v>0</v>
      </c>
      <c r="S90" s="4">
        <f t="shared" si="11"/>
        <v>0.95430940219491578</v>
      </c>
      <c r="T90" s="4">
        <f t="shared" si="12"/>
        <v>4.6767339155493172E-2</v>
      </c>
    </row>
    <row r="91" spans="1:20" x14ac:dyDescent="0.25">
      <c r="A91" s="4">
        <v>44</v>
      </c>
      <c r="B91" s="4">
        <v>1</v>
      </c>
      <c r="C91" s="4">
        <v>3</v>
      </c>
      <c r="D91" s="4">
        <v>140</v>
      </c>
      <c r="E91" s="4">
        <v>235</v>
      </c>
      <c r="F91" s="4">
        <v>0</v>
      </c>
      <c r="G91" s="4">
        <v>2</v>
      </c>
      <c r="H91" s="4">
        <v>180</v>
      </c>
      <c r="I91" s="4">
        <v>0</v>
      </c>
      <c r="J91" s="4">
        <v>0</v>
      </c>
      <c r="K91" s="4">
        <v>1</v>
      </c>
      <c r="L91" s="4">
        <v>0</v>
      </c>
      <c r="M91" s="4">
        <v>3</v>
      </c>
      <c r="N91" s="4">
        <v>0</v>
      </c>
      <c r="O91" s="4">
        <f t="shared" si="7"/>
        <v>-2.0430822280000003</v>
      </c>
      <c r="P91" s="4">
        <f t="shared" si="8"/>
        <v>0.1147532521054805</v>
      </c>
      <c r="Q91" s="4">
        <f t="shared" si="9"/>
        <v>0</v>
      </c>
      <c r="R91" s="4">
        <f t="shared" si="10"/>
        <v>0</v>
      </c>
      <c r="S91" s="4">
        <f t="shared" si="11"/>
        <v>0.88524674789451951</v>
      </c>
      <c r="T91" s="4">
        <f t="shared" si="12"/>
        <v>0.12188886165457359</v>
      </c>
    </row>
    <row r="92" spans="1:20" x14ac:dyDescent="0.25">
      <c r="A92" s="4">
        <v>47</v>
      </c>
      <c r="B92" s="4">
        <v>1</v>
      </c>
      <c r="C92" s="4">
        <v>3</v>
      </c>
      <c r="D92" s="4">
        <v>138</v>
      </c>
      <c r="E92" s="4">
        <v>257</v>
      </c>
      <c r="F92" s="4">
        <v>0</v>
      </c>
      <c r="G92" s="4">
        <v>2</v>
      </c>
      <c r="H92" s="4">
        <v>156</v>
      </c>
      <c r="I92" s="4">
        <v>0</v>
      </c>
      <c r="J92" s="4">
        <v>0</v>
      </c>
      <c r="K92" s="4">
        <v>1</v>
      </c>
      <c r="L92" s="4">
        <v>0</v>
      </c>
      <c r="M92" s="4">
        <v>3</v>
      </c>
      <c r="N92" s="4">
        <v>0</v>
      </c>
      <c r="O92" s="4">
        <f t="shared" si="7"/>
        <v>-1.5278176480000001</v>
      </c>
      <c r="P92" s="4">
        <f t="shared" si="8"/>
        <v>0.17831321434302108</v>
      </c>
      <c r="Q92" s="4">
        <f t="shared" si="9"/>
        <v>0</v>
      </c>
      <c r="R92" s="4">
        <f t="shared" si="10"/>
        <v>0</v>
      </c>
      <c r="S92" s="4">
        <f t="shared" si="11"/>
        <v>0.82168678565697895</v>
      </c>
      <c r="T92" s="4">
        <f t="shared" si="12"/>
        <v>0.19639599588663639</v>
      </c>
    </row>
    <row r="93" spans="1:20" x14ac:dyDescent="0.25">
      <c r="A93" s="4">
        <v>53</v>
      </c>
      <c r="B93" s="4">
        <v>0</v>
      </c>
      <c r="C93" s="4">
        <v>4</v>
      </c>
      <c r="D93" s="4">
        <v>138</v>
      </c>
      <c r="E93" s="4">
        <v>234</v>
      </c>
      <c r="F93" s="4">
        <v>0</v>
      </c>
      <c r="G93" s="4">
        <v>2</v>
      </c>
      <c r="H93" s="4">
        <v>160</v>
      </c>
      <c r="I93" s="4">
        <v>0</v>
      </c>
      <c r="J93" s="4">
        <v>0</v>
      </c>
      <c r="K93" s="4">
        <v>1</v>
      </c>
      <c r="L93" s="4">
        <v>0</v>
      </c>
      <c r="M93" s="4">
        <v>3</v>
      </c>
      <c r="N93" s="4">
        <v>0</v>
      </c>
      <c r="O93" s="4">
        <f t="shared" si="7"/>
        <v>-2.5465316079999987</v>
      </c>
      <c r="P93" s="4">
        <f t="shared" si="8"/>
        <v>7.2659840852010743E-2</v>
      </c>
      <c r="Q93" s="4">
        <f t="shared" si="9"/>
        <v>0</v>
      </c>
      <c r="R93" s="4">
        <f t="shared" si="10"/>
        <v>0</v>
      </c>
      <c r="S93" s="4">
        <f t="shared" si="11"/>
        <v>0.92734015914798928</v>
      </c>
      <c r="T93" s="4">
        <f t="shared" si="12"/>
        <v>7.5434834502371054E-2</v>
      </c>
    </row>
    <row r="94" spans="1:20" x14ac:dyDescent="0.25">
      <c r="A94" s="4">
        <v>51</v>
      </c>
      <c r="B94" s="4">
        <v>0</v>
      </c>
      <c r="C94" s="4">
        <v>3</v>
      </c>
      <c r="D94" s="4">
        <v>130</v>
      </c>
      <c r="E94" s="4">
        <v>256</v>
      </c>
      <c r="F94" s="4">
        <v>0</v>
      </c>
      <c r="G94" s="4">
        <v>2</v>
      </c>
      <c r="H94" s="4">
        <v>149</v>
      </c>
      <c r="I94" s="4">
        <v>0</v>
      </c>
      <c r="J94" s="4">
        <v>0.5</v>
      </c>
      <c r="K94" s="4">
        <v>1</v>
      </c>
      <c r="L94" s="4">
        <v>0</v>
      </c>
      <c r="M94" s="4">
        <v>3</v>
      </c>
      <c r="N94" s="4">
        <v>0</v>
      </c>
      <c r="O94" s="4">
        <f t="shared" si="7"/>
        <v>-2.8255879509999993</v>
      </c>
      <c r="P94" s="4">
        <f t="shared" si="8"/>
        <v>5.5957011955357322E-2</v>
      </c>
      <c r="Q94" s="4">
        <f t="shared" si="9"/>
        <v>0</v>
      </c>
      <c r="R94" s="4">
        <f t="shared" si="10"/>
        <v>0</v>
      </c>
      <c r="S94" s="4">
        <f t="shared" si="11"/>
        <v>0.94404298804464271</v>
      </c>
      <c r="T94" s="4">
        <f t="shared" si="12"/>
        <v>5.7583575690583713E-2</v>
      </c>
    </row>
    <row r="95" spans="1:20" x14ac:dyDescent="0.25">
      <c r="A95" s="4">
        <v>66</v>
      </c>
      <c r="B95" s="4">
        <v>1</v>
      </c>
      <c r="C95" s="4">
        <v>4</v>
      </c>
      <c r="D95" s="4">
        <v>120</v>
      </c>
      <c r="E95" s="4">
        <v>302</v>
      </c>
      <c r="F95" s="4">
        <v>0</v>
      </c>
      <c r="G95" s="4">
        <v>2</v>
      </c>
      <c r="H95" s="4">
        <v>151</v>
      </c>
      <c r="I95" s="4">
        <v>0</v>
      </c>
      <c r="J95" s="4">
        <v>0.4</v>
      </c>
      <c r="K95" s="4">
        <v>2</v>
      </c>
      <c r="L95" s="4">
        <v>0</v>
      </c>
      <c r="M95" s="4">
        <v>3</v>
      </c>
      <c r="N95" s="4">
        <v>0</v>
      </c>
      <c r="O95" s="4">
        <f t="shared" si="7"/>
        <v>-0.65663989879999907</v>
      </c>
      <c r="P95" s="4">
        <f t="shared" si="8"/>
        <v>0.3414948150964317</v>
      </c>
      <c r="Q95" s="4">
        <f t="shared" si="9"/>
        <v>0</v>
      </c>
      <c r="R95" s="4">
        <f t="shared" si="10"/>
        <v>0</v>
      </c>
      <c r="S95" s="4">
        <f t="shared" si="11"/>
        <v>0.65850518490356835</v>
      </c>
      <c r="T95" s="4">
        <f t="shared" si="12"/>
        <v>0.41778288402028046</v>
      </c>
    </row>
    <row r="96" spans="1:20" x14ac:dyDescent="0.25">
      <c r="A96" s="4">
        <v>62</v>
      </c>
      <c r="B96" s="4">
        <v>0</v>
      </c>
      <c r="C96" s="4">
        <v>4</v>
      </c>
      <c r="D96" s="4">
        <v>160</v>
      </c>
      <c r="E96" s="4">
        <v>164</v>
      </c>
      <c r="F96" s="4">
        <v>0</v>
      </c>
      <c r="G96" s="4">
        <v>2</v>
      </c>
      <c r="H96" s="4">
        <v>145</v>
      </c>
      <c r="I96" s="4">
        <v>0</v>
      </c>
      <c r="J96" s="4">
        <v>6.2</v>
      </c>
      <c r="K96" s="4">
        <v>3</v>
      </c>
      <c r="L96" s="4">
        <v>3</v>
      </c>
      <c r="M96" s="4">
        <v>7</v>
      </c>
      <c r="N96" s="4">
        <v>1</v>
      </c>
      <c r="O96" s="4">
        <f t="shared" si="7"/>
        <v>5.6680605436000011</v>
      </c>
      <c r="P96" s="4">
        <f t="shared" si="8"/>
        <v>0.99655733414222891</v>
      </c>
      <c r="Q96" s="4">
        <f t="shared" si="9"/>
        <v>1</v>
      </c>
      <c r="R96" s="4">
        <f t="shared" si="10"/>
        <v>0</v>
      </c>
      <c r="S96" s="4">
        <f t="shared" si="11"/>
        <v>0.99655733414222891</v>
      </c>
      <c r="T96" s="4">
        <f t="shared" si="12"/>
        <v>3.4486054678551986E-3</v>
      </c>
    </row>
    <row r="97" spans="1:20" x14ac:dyDescent="0.25">
      <c r="A97" s="4">
        <v>62</v>
      </c>
      <c r="B97" s="4">
        <v>1</v>
      </c>
      <c r="C97" s="4">
        <v>3</v>
      </c>
      <c r="D97" s="4">
        <v>130</v>
      </c>
      <c r="E97" s="4">
        <v>231</v>
      </c>
      <c r="F97" s="4">
        <v>0</v>
      </c>
      <c r="G97" s="4">
        <v>0</v>
      </c>
      <c r="H97" s="4">
        <v>146</v>
      </c>
      <c r="I97" s="4">
        <v>0</v>
      </c>
      <c r="J97" s="4">
        <v>1.8</v>
      </c>
      <c r="K97" s="4">
        <v>2</v>
      </c>
      <c r="L97" s="4">
        <v>3</v>
      </c>
      <c r="M97" s="4">
        <v>7</v>
      </c>
      <c r="N97" s="4">
        <v>0</v>
      </c>
      <c r="O97" s="4">
        <f t="shared" si="7"/>
        <v>3.8481166584000004</v>
      </c>
      <c r="P97" s="4">
        <f t="shared" si="8"/>
        <v>0.97912519649064289</v>
      </c>
      <c r="Q97" s="4">
        <f t="shared" si="9"/>
        <v>1</v>
      </c>
      <c r="R97" s="4">
        <f t="shared" si="10"/>
        <v>1</v>
      </c>
      <c r="S97" s="4">
        <f t="shared" si="11"/>
        <v>2.0874803509357109E-2</v>
      </c>
      <c r="T97" s="4">
        <f t="shared" si="12"/>
        <v>3.8692124210149257</v>
      </c>
    </row>
    <row r="98" spans="1:20" x14ac:dyDescent="0.25">
      <c r="A98" s="4">
        <v>44</v>
      </c>
      <c r="B98" s="4">
        <v>0</v>
      </c>
      <c r="C98" s="4">
        <v>3</v>
      </c>
      <c r="D98" s="4">
        <v>108</v>
      </c>
      <c r="E98" s="4">
        <v>141</v>
      </c>
      <c r="F98" s="4">
        <v>0</v>
      </c>
      <c r="G98" s="4">
        <v>0</v>
      </c>
      <c r="H98" s="4">
        <v>175</v>
      </c>
      <c r="I98" s="4">
        <v>0</v>
      </c>
      <c r="J98" s="4">
        <v>0.6</v>
      </c>
      <c r="K98" s="4">
        <v>2</v>
      </c>
      <c r="L98" s="4">
        <v>0</v>
      </c>
      <c r="M98" s="4">
        <v>3</v>
      </c>
      <c r="N98" s="4">
        <v>0</v>
      </c>
      <c r="O98" s="4">
        <f t="shared" si="7"/>
        <v>-4.2627194272000004</v>
      </c>
      <c r="P98" s="4">
        <f t="shared" si="8"/>
        <v>1.388834722081787E-2</v>
      </c>
      <c r="Q98" s="4">
        <f t="shared" si="9"/>
        <v>0</v>
      </c>
      <c r="R98" s="4">
        <f t="shared" si="10"/>
        <v>0</v>
      </c>
      <c r="S98" s="4">
        <f t="shared" si="11"/>
        <v>0.98611165277918211</v>
      </c>
      <c r="T98" s="4">
        <f t="shared" si="12"/>
        <v>1.398569267769199E-2</v>
      </c>
    </row>
    <row r="99" spans="1:20" x14ac:dyDescent="0.25">
      <c r="A99" s="4">
        <v>63</v>
      </c>
      <c r="B99" s="4">
        <v>0</v>
      </c>
      <c r="C99" s="4">
        <v>3</v>
      </c>
      <c r="D99" s="4">
        <v>135</v>
      </c>
      <c r="E99" s="4">
        <v>252</v>
      </c>
      <c r="F99" s="4">
        <v>0</v>
      </c>
      <c r="G99" s="4">
        <v>2</v>
      </c>
      <c r="H99" s="4">
        <v>172</v>
      </c>
      <c r="I99" s="4">
        <v>0</v>
      </c>
      <c r="J99" s="4">
        <v>0</v>
      </c>
      <c r="K99" s="4">
        <v>1</v>
      </c>
      <c r="L99" s="4">
        <v>0</v>
      </c>
      <c r="M99" s="4">
        <v>3</v>
      </c>
      <c r="N99" s="4">
        <v>0</v>
      </c>
      <c r="O99" s="4">
        <f t="shared" si="7"/>
        <v>-3.4942314719999987</v>
      </c>
      <c r="P99" s="4">
        <f t="shared" si="8"/>
        <v>2.9476809219353271E-2</v>
      </c>
      <c r="Q99" s="4">
        <f t="shared" si="9"/>
        <v>0</v>
      </c>
      <c r="R99" s="4">
        <f t="shared" si="10"/>
        <v>0</v>
      </c>
      <c r="S99" s="4">
        <f t="shared" si="11"/>
        <v>0.97052319078064675</v>
      </c>
      <c r="T99" s="4">
        <f t="shared" si="12"/>
        <v>2.991998095465773E-2</v>
      </c>
    </row>
    <row r="100" spans="1:20" x14ac:dyDescent="0.25">
      <c r="A100" s="4">
        <v>52</v>
      </c>
      <c r="B100" s="4">
        <v>1</v>
      </c>
      <c r="C100" s="4">
        <v>4</v>
      </c>
      <c r="D100" s="4">
        <v>128</v>
      </c>
      <c r="E100" s="4">
        <v>255</v>
      </c>
      <c r="F100" s="4">
        <v>0</v>
      </c>
      <c r="G100" s="4">
        <v>0</v>
      </c>
      <c r="H100" s="4">
        <v>161</v>
      </c>
      <c r="I100" s="4">
        <v>1</v>
      </c>
      <c r="J100" s="4">
        <v>0</v>
      </c>
      <c r="K100" s="4">
        <v>1</v>
      </c>
      <c r="L100" s="4">
        <v>1</v>
      </c>
      <c r="M100" s="4">
        <v>7</v>
      </c>
      <c r="N100" s="4">
        <v>1</v>
      </c>
      <c r="O100" s="4">
        <f t="shared" si="7"/>
        <v>1.702820934</v>
      </c>
      <c r="P100" s="4">
        <f t="shared" si="8"/>
        <v>0.84590280609432511</v>
      </c>
      <c r="Q100" s="4">
        <f t="shared" si="9"/>
        <v>1</v>
      </c>
      <c r="R100" s="4">
        <f t="shared" si="10"/>
        <v>0</v>
      </c>
      <c r="S100" s="4">
        <f t="shared" si="11"/>
        <v>0.84590280609432511</v>
      </c>
      <c r="T100" s="4">
        <f t="shared" si="12"/>
        <v>0.16735081238919056</v>
      </c>
    </row>
    <row r="101" spans="1:20" x14ac:dyDescent="0.25">
      <c r="A101" s="4">
        <v>59</v>
      </c>
      <c r="B101" s="4">
        <v>1</v>
      </c>
      <c r="C101" s="4">
        <v>4</v>
      </c>
      <c r="D101" s="4">
        <v>110</v>
      </c>
      <c r="E101" s="4">
        <v>239</v>
      </c>
      <c r="F101" s="4">
        <v>0</v>
      </c>
      <c r="G101" s="4">
        <v>2</v>
      </c>
      <c r="H101" s="4">
        <v>142</v>
      </c>
      <c r="I101" s="4">
        <v>1</v>
      </c>
      <c r="J101" s="4">
        <v>1.2</v>
      </c>
      <c r="K101" s="4">
        <v>2</v>
      </c>
      <c r="L101" s="4">
        <v>1</v>
      </c>
      <c r="M101" s="4">
        <v>7</v>
      </c>
      <c r="N101" s="4">
        <v>1</v>
      </c>
      <c r="O101" s="4">
        <f t="shared" si="7"/>
        <v>2.8407883196000014</v>
      </c>
      <c r="P101" s="4">
        <f t="shared" si="8"/>
        <v>0.94484056138146355</v>
      </c>
      <c r="Q101" s="4">
        <f t="shared" si="9"/>
        <v>1</v>
      </c>
      <c r="R101" s="4">
        <f t="shared" si="10"/>
        <v>0</v>
      </c>
      <c r="S101" s="4">
        <f t="shared" si="11"/>
        <v>0.94484056138146355</v>
      </c>
      <c r="T101" s="4">
        <f t="shared" si="12"/>
        <v>5.6739083837749928E-2</v>
      </c>
    </row>
    <row r="102" spans="1:20" x14ac:dyDescent="0.25">
      <c r="A102" s="4">
        <v>60</v>
      </c>
      <c r="B102" s="4">
        <v>0</v>
      </c>
      <c r="C102" s="4">
        <v>4</v>
      </c>
      <c r="D102" s="4">
        <v>150</v>
      </c>
      <c r="E102" s="4">
        <v>258</v>
      </c>
      <c r="F102" s="4">
        <v>0</v>
      </c>
      <c r="G102" s="4">
        <v>2</v>
      </c>
      <c r="H102" s="4">
        <v>157</v>
      </c>
      <c r="I102" s="4">
        <v>0</v>
      </c>
      <c r="J102" s="4">
        <v>2.6</v>
      </c>
      <c r="K102" s="4">
        <v>2</v>
      </c>
      <c r="L102" s="4">
        <v>2</v>
      </c>
      <c r="M102" s="4">
        <v>7</v>
      </c>
      <c r="N102" s="4">
        <v>1</v>
      </c>
      <c r="O102" s="4">
        <f t="shared" si="7"/>
        <v>2.9491956528000003</v>
      </c>
      <c r="P102" s="4">
        <f t="shared" si="8"/>
        <v>0.95022545897684563</v>
      </c>
      <c r="Q102" s="4">
        <f t="shared" si="9"/>
        <v>1</v>
      </c>
      <c r="R102" s="4">
        <f t="shared" si="10"/>
        <v>0</v>
      </c>
      <c r="S102" s="4">
        <f t="shared" si="11"/>
        <v>0.95022545897684563</v>
      </c>
      <c r="T102" s="4">
        <f t="shared" si="12"/>
        <v>5.1055997305945296E-2</v>
      </c>
    </row>
    <row r="103" spans="1:20" x14ac:dyDescent="0.25">
      <c r="A103" s="4">
        <v>52</v>
      </c>
      <c r="B103" s="4">
        <v>1</v>
      </c>
      <c r="C103" s="4">
        <v>2</v>
      </c>
      <c r="D103" s="4">
        <v>134</v>
      </c>
      <c r="E103" s="4">
        <v>201</v>
      </c>
      <c r="F103" s="4">
        <v>0</v>
      </c>
      <c r="G103" s="4">
        <v>0</v>
      </c>
      <c r="H103" s="4">
        <v>158</v>
      </c>
      <c r="I103" s="4">
        <v>0</v>
      </c>
      <c r="J103" s="4">
        <v>0.8</v>
      </c>
      <c r="K103" s="4">
        <v>1</v>
      </c>
      <c r="L103" s="4">
        <v>1</v>
      </c>
      <c r="M103" s="4">
        <v>3</v>
      </c>
      <c r="N103" s="4">
        <v>0</v>
      </c>
      <c r="O103" s="4">
        <f t="shared" si="7"/>
        <v>-1.6164630506000002</v>
      </c>
      <c r="P103" s="4">
        <f t="shared" si="8"/>
        <v>0.16569323652968596</v>
      </c>
      <c r="Q103" s="4">
        <f t="shared" si="9"/>
        <v>0</v>
      </c>
      <c r="R103" s="4">
        <f t="shared" si="10"/>
        <v>0</v>
      </c>
      <c r="S103" s="4">
        <f t="shared" si="11"/>
        <v>0.83430676347031407</v>
      </c>
      <c r="T103" s="4">
        <f t="shared" si="12"/>
        <v>0.18115412234643313</v>
      </c>
    </row>
    <row r="104" spans="1:20" x14ac:dyDescent="0.25">
      <c r="A104" s="4">
        <v>48</v>
      </c>
      <c r="B104" s="4">
        <v>1</v>
      </c>
      <c r="C104" s="4">
        <v>4</v>
      </c>
      <c r="D104" s="4">
        <v>122</v>
      </c>
      <c r="E104" s="4">
        <v>222</v>
      </c>
      <c r="F104" s="4">
        <v>0</v>
      </c>
      <c r="G104" s="4">
        <v>2</v>
      </c>
      <c r="H104" s="4">
        <v>186</v>
      </c>
      <c r="I104" s="4">
        <v>0</v>
      </c>
      <c r="J104" s="4">
        <v>0</v>
      </c>
      <c r="K104" s="4">
        <v>1</v>
      </c>
      <c r="L104" s="4">
        <v>0</v>
      </c>
      <c r="M104" s="4">
        <v>3</v>
      </c>
      <c r="N104" s="4">
        <v>0</v>
      </c>
      <c r="O104" s="4">
        <f t="shared" si="7"/>
        <v>-2.145535240000001</v>
      </c>
      <c r="P104" s="4">
        <f t="shared" si="8"/>
        <v>0.10474917570634282</v>
      </c>
      <c r="Q104" s="4">
        <f t="shared" si="9"/>
        <v>0</v>
      </c>
      <c r="R104" s="4">
        <f t="shared" si="10"/>
        <v>0</v>
      </c>
      <c r="S104" s="4">
        <f t="shared" si="11"/>
        <v>0.89525082429365721</v>
      </c>
      <c r="T104" s="4">
        <f t="shared" si="12"/>
        <v>0.11065134936270948</v>
      </c>
    </row>
    <row r="105" spans="1:20" x14ac:dyDescent="0.25">
      <c r="A105" s="4">
        <v>45</v>
      </c>
      <c r="B105" s="4">
        <v>1</v>
      </c>
      <c r="C105" s="4">
        <v>4</v>
      </c>
      <c r="D105" s="4">
        <v>115</v>
      </c>
      <c r="E105" s="4">
        <v>260</v>
      </c>
      <c r="F105" s="4">
        <v>0</v>
      </c>
      <c r="G105" s="4">
        <v>2</v>
      </c>
      <c r="H105" s="4">
        <v>185</v>
      </c>
      <c r="I105" s="4">
        <v>0</v>
      </c>
      <c r="J105" s="4">
        <v>0</v>
      </c>
      <c r="K105" s="4">
        <v>1</v>
      </c>
      <c r="L105" s="4">
        <v>0</v>
      </c>
      <c r="M105" s="4">
        <v>3</v>
      </c>
      <c r="N105" s="4">
        <v>0</v>
      </c>
      <c r="O105" s="4">
        <f t="shared" si="7"/>
        <v>-2.0608747949999993</v>
      </c>
      <c r="P105" s="4">
        <f t="shared" si="8"/>
        <v>0.11295814715187588</v>
      </c>
      <c r="Q105" s="4">
        <f t="shared" si="9"/>
        <v>0</v>
      </c>
      <c r="R105" s="4">
        <f t="shared" si="10"/>
        <v>0</v>
      </c>
      <c r="S105" s="4">
        <f t="shared" si="11"/>
        <v>0.88704185284812409</v>
      </c>
      <c r="T105" s="4">
        <f t="shared" si="12"/>
        <v>0.11986311306404837</v>
      </c>
    </row>
    <row r="106" spans="1:20" x14ac:dyDescent="0.25">
      <c r="A106" s="4">
        <v>34</v>
      </c>
      <c r="B106" s="4">
        <v>1</v>
      </c>
      <c r="C106" s="4">
        <v>1</v>
      </c>
      <c r="D106" s="4">
        <v>118</v>
      </c>
      <c r="E106" s="4">
        <v>182</v>
      </c>
      <c r="F106" s="4">
        <v>0</v>
      </c>
      <c r="G106" s="4">
        <v>2</v>
      </c>
      <c r="H106" s="4">
        <v>174</v>
      </c>
      <c r="I106" s="4">
        <v>0</v>
      </c>
      <c r="J106" s="4">
        <v>0</v>
      </c>
      <c r="K106" s="4">
        <v>1</v>
      </c>
      <c r="L106" s="4">
        <v>0</v>
      </c>
      <c r="M106" s="4">
        <v>3</v>
      </c>
      <c r="N106" s="4">
        <v>0</v>
      </c>
      <c r="O106" s="4">
        <f t="shared" si="7"/>
        <v>-3.7230717800000002</v>
      </c>
      <c r="P106" s="4">
        <f t="shared" si="8"/>
        <v>2.3589721451609945E-2</v>
      </c>
      <c r="Q106" s="4">
        <f t="shared" si="9"/>
        <v>0</v>
      </c>
      <c r="R106" s="4">
        <f t="shared" si="10"/>
        <v>0</v>
      </c>
      <c r="S106" s="4">
        <f t="shared" si="11"/>
        <v>0.97641027854839002</v>
      </c>
      <c r="T106" s="4">
        <f t="shared" si="12"/>
        <v>2.3872413533498643E-2</v>
      </c>
    </row>
    <row r="107" spans="1:20" x14ac:dyDescent="0.25">
      <c r="A107" s="4">
        <v>57</v>
      </c>
      <c r="B107" s="4">
        <v>0</v>
      </c>
      <c r="C107" s="4">
        <v>4</v>
      </c>
      <c r="D107" s="4">
        <v>128</v>
      </c>
      <c r="E107" s="4">
        <v>303</v>
      </c>
      <c r="F107" s="4">
        <v>0</v>
      </c>
      <c r="G107" s="4">
        <v>2</v>
      </c>
      <c r="H107" s="4">
        <v>159</v>
      </c>
      <c r="I107" s="4">
        <v>0</v>
      </c>
      <c r="J107" s="4">
        <v>0</v>
      </c>
      <c r="K107" s="4">
        <v>1</v>
      </c>
      <c r="L107" s="4">
        <v>1</v>
      </c>
      <c r="M107" s="4">
        <v>3</v>
      </c>
      <c r="N107" s="4">
        <v>0</v>
      </c>
      <c r="O107" s="4">
        <f t="shared" si="7"/>
        <v>-1.210544625999999</v>
      </c>
      <c r="P107" s="4">
        <f t="shared" si="8"/>
        <v>0.22960469984420576</v>
      </c>
      <c r="Q107" s="4">
        <f t="shared" si="9"/>
        <v>0</v>
      </c>
      <c r="R107" s="4">
        <f t="shared" si="10"/>
        <v>0</v>
      </c>
      <c r="S107" s="4">
        <f t="shared" si="11"/>
        <v>0.77039530015579427</v>
      </c>
      <c r="T107" s="4">
        <f t="shared" si="12"/>
        <v>0.2608515190414995</v>
      </c>
    </row>
    <row r="108" spans="1:20" x14ac:dyDescent="0.25">
      <c r="A108" s="4">
        <v>71</v>
      </c>
      <c r="B108" s="4">
        <v>0</v>
      </c>
      <c r="C108" s="4">
        <v>3</v>
      </c>
      <c r="D108" s="4">
        <v>110</v>
      </c>
      <c r="E108" s="4">
        <v>265</v>
      </c>
      <c r="F108" s="4">
        <v>1</v>
      </c>
      <c r="G108" s="4">
        <v>2</v>
      </c>
      <c r="H108" s="4">
        <v>130</v>
      </c>
      <c r="I108" s="4">
        <v>0</v>
      </c>
      <c r="J108" s="4">
        <v>0</v>
      </c>
      <c r="K108" s="4">
        <v>1</v>
      </c>
      <c r="L108" s="4">
        <v>1</v>
      </c>
      <c r="M108" s="4">
        <v>3</v>
      </c>
      <c r="N108" s="4">
        <v>0</v>
      </c>
      <c r="O108" s="4">
        <f t="shared" si="7"/>
        <v>-3.030019317999999</v>
      </c>
      <c r="P108" s="4">
        <f t="shared" si="8"/>
        <v>4.6087977735675051E-2</v>
      </c>
      <c r="Q108" s="4">
        <f t="shared" si="9"/>
        <v>0</v>
      </c>
      <c r="R108" s="4">
        <f t="shared" si="10"/>
        <v>0</v>
      </c>
      <c r="S108" s="4">
        <f t="shared" si="11"/>
        <v>0.95391202226432492</v>
      </c>
      <c r="T108" s="4">
        <f t="shared" si="12"/>
        <v>4.7183831635078236E-2</v>
      </c>
    </row>
    <row r="109" spans="1:20" x14ac:dyDescent="0.25">
      <c r="A109" s="4">
        <v>49</v>
      </c>
      <c r="B109" s="4">
        <v>1</v>
      </c>
      <c r="C109" s="4">
        <v>3</v>
      </c>
      <c r="D109" s="4">
        <v>120</v>
      </c>
      <c r="E109" s="4">
        <v>188</v>
      </c>
      <c r="F109" s="4">
        <v>0</v>
      </c>
      <c r="G109" s="4">
        <v>0</v>
      </c>
      <c r="H109" s="4">
        <v>139</v>
      </c>
      <c r="I109" s="4">
        <v>0</v>
      </c>
      <c r="J109" s="4">
        <v>2</v>
      </c>
      <c r="K109" s="4">
        <v>2</v>
      </c>
      <c r="L109" s="4">
        <v>3</v>
      </c>
      <c r="M109" s="4">
        <v>7</v>
      </c>
      <c r="N109" s="4">
        <v>1</v>
      </c>
      <c r="O109" s="4">
        <f t="shared" si="7"/>
        <v>3.7710711890000006</v>
      </c>
      <c r="P109" s="4">
        <f t="shared" si="8"/>
        <v>0.97749094133233794</v>
      </c>
      <c r="Q109" s="4">
        <f t="shared" si="9"/>
        <v>1</v>
      </c>
      <c r="R109" s="4">
        <f t="shared" si="10"/>
        <v>0</v>
      </c>
      <c r="S109" s="4">
        <f t="shared" si="11"/>
        <v>0.97749094133233794</v>
      </c>
      <c r="T109" s="4">
        <f t="shared" si="12"/>
        <v>2.2766254344750714E-2</v>
      </c>
    </row>
    <row r="110" spans="1:20" x14ac:dyDescent="0.25">
      <c r="A110" s="4">
        <v>54</v>
      </c>
      <c r="B110" s="4">
        <v>1</v>
      </c>
      <c r="C110" s="4">
        <v>2</v>
      </c>
      <c r="D110" s="4">
        <v>108</v>
      </c>
      <c r="E110" s="4">
        <v>309</v>
      </c>
      <c r="F110" s="4">
        <v>0</v>
      </c>
      <c r="G110" s="4">
        <v>0</v>
      </c>
      <c r="H110" s="4">
        <v>156</v>
      </c>
      <c r="I110" s="4">
        <v>0</v>
      </c>
      <c r="J110" s="4">
        <v>0</v>
      </c>
      <c r="K110" s="4">
        <v>1</v>
      </c>
      <c r="L110" s="4">
        <v>0</v>
      </c>
      <c r="M110" s="4">
        <v>7</v>
      </c>
      <c r="N110" s="4">
        <v>0</v>
      </c>
      <c r="O110" s="4">
        <f t="shared" si="7"/>
        <v>-1.7789882099999996</v>
      </c>
      <c r="P110" s="4">
        <f t="shared" si="8"/>
        <v>0.14442811462487953</v>
      </c>
      <c r="Q110" s="4">
        <f t="shared" si="9"/>
        <v>0</v>
      </c>
      <c r="R110" s="4">
        <f t="shared" si="10"/>
        <v>0</v>
      </c>
      <c r="S110" s="4">
        <f t="shared" si="11"/>
        <v>0.85557188537512041</v>
      </c>
      <c r="T110" s="4">
        <f t="shared" si="12"/>
        <v>0.1559851618566431</v>
      </c>
    </row>
    <row r="111" spans="1:20" x14ac:dyDescent="0.25">
      <c r="A111" s="4">
        <v>59</v>
      </c>
      <c r="B111" s="4">
        <v>1</v>
      </c>
      <c r="C111" s="4">
        <v>4</v>
      </c>
      <c r="D111" s="4">
        <v>140</v>
      </c>
      <c r="E111" s="4">
        <v>177</v>
      </c>
      <c r="F111" s="4">
        <v>0</v>
      </c>
      <c r="G111" s="4">
        <v>0</v>
      </c>
      <c r="H111" s="4">
        <v>162</v>
      </c>
      <c r="I111" s="4">
        <v>1</v>
      </c>
      <c r="J111" s="4">
        <v>0</v>
      </c>
      <c r="K111" s="4">
        <v>1</v>
      </c>
      <c r="L111" s="4">
        <v>1</v>
      </c>
      <c r="M111" s="4">
        <v>7</v>
      </c>
      <c r="N111" s="4">
        <v>1</v>
      </c>
      <c r="O111" s="4">
        <f t="shared" si="7"/>
        <v>1.4819235129999999</v>
      </c>
      <c r="P111" s="4">
        <f t="shared" si="8"/>
        <v>0.81486294019899019</v>
      </c>
      <c r="Q111" s="4">
        <f t="shared" si="9"/>
        <v>1</v>
      </c>
      <c r="R111" s="4">
        <f t="shared" si="10"/>
        <v>0</v>
      </c>
      <c r="S111" s="4">
        <f t="shared" si="11"/>
        <v>0.81486294019899019</v>
      </c>
      <c r="T111" s="4">
        <f t="shared" si="12"/>
        <v>0.20473535141867388</v>
      </c>
    </row>
    <row r="112" spans="1:20" x14ac:dyDescent="0.25">
      <c r="A112" s="4">
        <v>57</v>
      </c>
      <c r="B112" s="4">
        <v>1</v>
      </c>
      <c r="C112" s="4">
        <v>3</v>
      </c>
      <c r="D112" s="4">
        <v>128</v>
      </c>
      <c r="E112" s="4">
        <v>229</v>
      </c>
      <c r="F112" s="4">
        <v>0</v>
      </c>
      <c r="G112" s="4">
        <v>2</v>
      </c>
      <c r="H112" s="4">
        <v>150</v>
      </c>
      <c r="I112" s="4">
        <v>0</v>
      </c>
      <c r="J112" s="4">
        <v>0.4</v>
      </c>
      <c r="K112" s="4">
        <v>2</v>
      </c>
      <c r="L112" s="4">
        <v>1</v>
      </c>
      <c r="M112" s="4">
        <v>7</v>
      </c>
      <c r="N112" s="4">
        <v>1</v>
      </c>
      <c r="O112" s="4">
        <f t="shared" si="7"/>
        <v>1.3867036272000011</v>
      </c>
      <c r="P112" s="4">
        <f t="shared" si="8"/>
        <v>0.80006547453295218</v>
      </c>
      <c r="Q112" s="4">
        <f t="shared" si="9"/>
        <v>1</v>
      </c>
      <c r="R112" s="4">
        <f t="shared" si="10"/>
        <v>0</v>
      </c>
      <c r="S112" s="4">
        <f t="shared" si="11"/>
        <v>0.80006547453295218</v>
      </c>
      <c r="T112" s="4">
        <f t="shared" si="12"/>
        <v>0.22306171149698872</v>
      </c>
    </row>
    <row r="113" spans="1:20" x14ac:dyDescent="0.25">
      <c r="A113" s="4">
        <v>61</v>
      </c>
      <c r="B113" s="4">
        <v>1</v>
      </c>
      <c r="C113" s="4">
        <v>4</v>
      </c>
      <c r="D113" s="4">
        <v>120</v>
      </c>
      <c r="E113" s="4">
        <v>260</v>
      </c>
      <c r="F113" s="4">
        <v>0</v>
      </c>
      <c r="G113" s="4">
        <v>0</v>
      </c>
      <c r="H113" s="4">
        <v>140</v>
      </c>
      <c r="I113" s="4">
        <v>1</v>
      </c>
      <c r="J113" s="4">
        <v>3.6</v>
      </c>
      <c r="K113" s="4">
        <v>2</v>
      </c>
      <c r="L113" s="4">
        <v>1</v>
      </c>
      <c r="M113" s="4">
        <v>7</v>
      </c>
      <c r="N113" s="4">
        <v>1</v>
      </c>
      <c r="O113" s="4">
        <f t="shared" si="7"/>
        <v>3.3025675968000012</v>
      </c>
      <c r="P113" s="4">
        <f t="shared" si="8"/>
        <v>0.96451678943452879</v>
      </c>
      <c r="Q113" s="4">
        <f t="shared" si="9"/>
        <v>1</v>
      </c>
      <c r="R113" s="4">
        <f t="shared" si="10"/>
        <v>0</v>
      </c>
      <c r="S113" s="4">
        <f t="shared" si="11"/>
        <v>0.96451678943452879</v>
      </c>
      <c r="T113" s="4">
        <f t="shared" si="12"/>
        <v>3.6128039390733474E-2</v>
      </c>
    </row>
    <row r="114" spans="1:20" x14ac:dyDescent="0.25">
      <c r="A114" s="4">
        <v>39</v>
      </c>
      <c r="B114" s="4">
        <v>1</v>
      </c>
      <c r="C114" s="4">
        <v>4</v>
      </c>
      <c r="D114" s="4">
        <v>118</v>
      </c>
      <c r="E114" s="4">
        <v>219</v>
      </c>
      <c r="F114" s="4">
        <v>0</v>
      </c>
      <c r="G114" s="4">
        <v>0</v>
      </c>
      <c r="H114" s="4">
        <v>140</v>
      </c>
      <c r="I114" s="4">
        <v>0</v>
      </c>
      <c r="J114" s="4">
        <v>1.2</v>
      </c>
      <c r="K114" s="4">
        <v>2</v>
      </c>
      <c r="L114" s="4">
        <v>0</v>
      </c>
      <c r="M114" s="4">
        <v>7</v>
      </c>
      <c r="N114" s="4">
        <v>1</v>
      </c>
      <c r="O114" s="4">
        <f t="shared" si="7"/>
        <v>0.57362245860000094</v>
      </c>
      <c r="P114" s="4">
        <f t="shared" si="8"/>
        <v>0.63959861770563853</v>
      </c>
      <c r="Q114" s="4">
        <f t="shared" si="9"/>
        <v>1</v>
      </c>
      <c r="R114" s="4">
        <f t="shared" si="10"/>
        <v>0</v>
      </c>
      <c r="S114" s="4">
        <f t="shared" si="11"/>
        <v>0.63959861770563853</v>
      </c>
      <c r="T114" s="4">
        <f t="shared" si="12"/>
        <v>0.44691445921035411</v>
      </c>
    </row>
    <row r="115" spans="1:20" x14ac:dyDescent="0.25">
      <c r="A115" s="4">
        <v>61</v>
      </c>
      <c r="B115" s="4">
        <v>0</v>
      </c>
      <c r="C115" s="4">
        <v>4</v>
      </c>
      <c r="D115" s="4">
        <v>145</v>
      </c>
      <c r="E115" s="4">
        <v>307</v>
      </c>
      <c r="F115" s="4">
        <v>0</v>
      </c>
      <c r="G115" s="4">
        <v>2</v>
      </c>
      <c r="H115" s="4">
        <v>146</v>
      </c>
      <c r="I115" s="4">
        <v>1</v>
      </c>
      <c r="J115" s="4">
        <v>1</v>
      </c>
      <c r="K115" s="4">
        <v>2</v>
      </c>
      <c r="L115" s="4">
        <v>0</v>
      </c>
      <c r="M115" s="4">
        <v>7</v>
      </c>
      <c r="N115" s="4">
        <v>1</v>
      </c>
      <c r="O115" s="4">
        <f t="shared" si="7"/>
        <v>1.2817519490000002</v>
      </c>
      <c r="P115" s="4">
        <f t="shared" si="8"/>
        <v>0.78274784932875685</v>
      </c>
      <c r="Q115" s="4">
        <f t="shared" si="9"/>
        <v>1</v>
      </c>
      <c r="R115" s="4">
        <f t="shared" si="10"/>
        <v>0</v>
      </c>
      <c r="S115" s="4">
        <f t="shared" si="11"/>
        <v>0.78274784932875685</v>
      </c>
      <c r="T115" s="4">
        <f t="shared" si="12"/>
        <v>0.24494466636322687</v>
      </c>
    </row>
    <row r="116" spans="1:20" x14ac:dyDescent="0.25">
      <c r="A116" s="4">
        <v>56</v>
      </c>
      <c r="B116" s="4">
        <v>1</v>
      </c>
      <c r="C116" s="4">
        <v>4</v>
      </c>
      <c r="D116" s="4">
        <v>125</v>
      </c>
      <c r="E116" s="4">
        <v>249</v>
      </c>
      <c r="F116" s="4">
        <v>1</v>
      </c>
      <c r="G116" s="4">
        <v>2</v>
      </c>
      <c r="H116" s="4">
        <v>144</v>
      </c>
      <c r="I116" s="4">
        <v>1</v>
      </c>
      <c r="J116" s="4">
        <v>1.2</v>
      </c>
      <c r="K116" s="4">
        <v>2</v>
      </c>
      <c r="L116" s="4">
        <v>1</v>
      </c>
      <c r="M116" s="4">
        <v>3</v>
      </c>
      <c r="N116" s="4">
        <v>1</v>
      </c>
      <c r="O116" s="4">
        <f t="shared" si="7"/>
        <v>0.85488250459999904</v>
      </c>
      <c r="P116" s="4">
        <f t="shared" si="8"/>
        <v>0.70159035520500646</v>
      </c>
      <c r="Q116" s="4">
        <f t="shared" si="9"/>
        <v>1</v>
      </c>
      <c r="R116" s="4">
        <f t="shared" si="10"/>
        <v>0</v>
      </c>
      <c r="S116" s="4">
        <f t="shared" si="11"/>
        <v>0.70159035520500646</v>
      </c>
      <c r="T116" s="4">
        <f t="shared" si="12"/>
        <v>0.35440558487582707</v>
      </c>
    </row>
    <row r="117" spans="1:20" x14ac:dyDescent="0.25">
      <c r="A117" s="4">
        <v>52</v>
      </c>
      <c r="B117" s="4">
        <v>1</v>
      </c>
      <c r="C117" s="4">
        <v>1</v>
      </c>
      <c r="D117" s="4">
        <v>118</v>
      </c>
      <c r="E117" s="4">
        <v>186</v>
      </c>
      <c r="F117" s="4">
        <v>0</v>
      </c>
      <c r="G117" s="4">
        <v>2</v>
      </c>
      <c r="H117" s="4">
        <v>190</v>
      </c>
      <c r="I117" s="4">
        <v>0</v>
      </c>
      <c r="J117" s="4">
        <v>0</v>
      </c>
      <c r="K117" s="4">
        <v>2</v>
      </c>
      <c r="L117" s="4">
        <v>0</v>
      </c>
      <c r="M117" s="4">
        <v>6</v>
      </c>
      <c r="N117" s="4">
        <v>0</v>
      </c>
      <c r="O117" s="4">
        <f t="shared" si="7"/>
        <v>-2.6867482259999989</v>
      </c>
      <c r="P117" s="4">
        <f t="shared" si="8"/>
        <v>6.3759856338054144E-2</v>
      </c>
      <c r="Q117" s="4">
        <f t="shared" si="9"/>
        <v>0</v>
      </c>
      <c r="R117" s="4">
        <f t="shared" si="10"/>
        <v>0</v>
      </c>
      <c r="S117" s="4">
        <f t="shared" si="11"/>
        <v>0.93624014366194586</v>
      </c>
      <c r="T117" s="4">
        <f t="shared" si="12"/>
        <v>6.5883271669998203E-2</v>
      </c>
    </row>
    <row r="118" spans="1:20" x14ac:dyDescent="0.25">
      <c r="A118" s="4">
        <v>43</v>
      </c>
      <c r="B118" s="4">
        <v>0</v>
      </c>
      <c r="C118" s="4">
        <v>4</v>
      </c>
      <c r="D118" s="4">
        <v>132</v>
      </c>
      <c r="E118" s="4">
        <v>341</v>
      </c>
      <c r="F118" s="4">
        <v>1</v>
      </c>
      <c r="G118" s="4">
        <v>2</v>
      </c>
      <c r="H118" s="4">
        <v>136</v>
      </c>
      <c r="I118" s="4">
        <v>1</v>
      </c>
      <c r="J118" s="4">
        <v>3</v>
      </c>
      <c r="K118" s="4">
        <v>2</v>
      </c>
      <c r="L118" s="4">
        <v>0</v>
      </c>
      <c r="M118" s="4">
        <v>7</v>
      </c>
      <c r="N118" s="4">
        <v>1</v>
      </c>
      <c r="O118" s="4">
        <f t="shared" si="7"/>
        <v>1.0733741500000011</v>
      </c>
      <c r="P118" s="4">
        <f t="shared" si="8"/>
        <v>0.74523805611243266</v>
      </c>
      <c r="Q118" s="4">
        <f t="shared" si="9"/>
        <v>1</v>
      </c>
      <c r="R118" s="4">
        <f t="shared" si="10"/>
        <v>0</v>
      </c>
      <c r="S118" s="4">
        <f t="shared" si="11"/>
        <v>0.74523805611243266</v>
      </c>
      <c r="T118" s="4">
        <f t="shared" si="12"/>
        <v>0.29405157323815123</v>
      </c>
    </row>
    <row r="119" spans="1:20" x14ac:dyDescent="0.25">
      <c r="A119" s="4">
        <v>62</v>
      </c>
      <c r="B119" s="4">
        <v>0</v>
      </c>
      <c r="C119" s="4">
        <v>3</v>
      </c>
      <c r="D119" s="4">
        <v>130</v>
      </c>
      <c r="E119" s="4">
        <v>263</v>
      </c>
      <c r="F119" s="4">
        <v>0</v>
      </c>
      <c r="G119" s="4">
        <v>0</v>
      </c>
      <c r="H119" s="4">
        <v>97</v>
      </c>
      <c r="I119" s="4">
        <v>0</v>
      </c>
      <c r="J119" s="4">
        <v>1.2</v>
      </c>
      <c r="K119" s="4">
        <v>2</v>
      </c>
      <c r="L119" s="4">
        <v>1</v>
      </c>
      <c r="M119" s="4">
        <v>7</v>
      </c>
      <c r="N119" s="4">
        <v>1</v>
      </c>
      <c r="O119" s="4">
        <f t="shared" si="7"/>
        <v>1.0245118426000008</v>
      </c>
      <c r="P119" s="4">
        <f t="shared" si="8"/>
        <v>0.73585051948574254</v>
      </c>
      <c r="Q119" s="4">
        <f t="shared" si="9"/>
        <v>1</v>
      </c>
      <c r="R119" s="4">
        <f t="shared" si="10"/>
        <v>0</v>
      </c>
      <c r="S119" s="4">
        <f t="shared" si="11"/>
        <v>0.73585051948574254</v>
      </c>
      <c r="T119" s="4">
        <f t="shared" si="12"/>
        <v>0.30672827940536551</v>
      </c>
    </row>
    <row r="120" spans="1:20" x14ac:dyDescent="0.25">
      <c r="A120" s="4">
        <v>41</v>
      </c>
      <c r="B120" s="4">
        <v>1</v>
      </c>
      <c r="C120" s="4">
        <v>2</v>
      </c>
      <c r="D120" s="4">
        <v>135</v>
      </c>
      <c r="E120" s="4">
        <v>203</v>
      </c>
      <c r="F120" s="4">
        <v>0</v>
      </c>
      <c r="G120" s="4">
        <v>0</v>
      </c>
      <c r="H120" s="4">
        <v>132</v>
      </c>
      <c r="I120" s="4">
        <v>0</v>
      </c>
      <c r="J120" s="4">
        <v>0</v>
      </c>
      <c r="K120" s="4">
        <v>2</v>
      </c>
      <c r="L120" s="4">
        <v>0</v>
      </c>
      <c r="M120" s="4">
        <v>6</v>
      </c>
      <c r="N120" s="4">
        <v>0</v>
      </c>
      <c r="O120" s="4">
        <f t="shared" si="7"/>
        <v>-0.75318656799999939</v>
      </c>
      <c r="P120" s="4">
        <f t="shared" si="8"/>
        <v>0.32012736041308992</v>
      </c>
      <c r="Q120" s="4">
        <f t="shared" si="9"/>
        <v>0</v>
      </c>
      <c r="R120" s="4">
        <f t="shared" si="10"/>
        <v>0</v>
      </c>
      <c r="S120" s="4">
        <f t="shared" si="11"/>
        <v>0.67987263958691013</v>
      </c>
      <c r="T120" s="4">
        <f t="shared" si="12"/>
        <v>0.38584979307896422</v>
      </c>
    </row>
    <row r="121" spans="1:20" x14ac:dyDescent="0.25">
      <c r="A121" s="4">
        <v>58</v>
      </c>
      <c r="B121" s="4">
        <v>1</v>
      </c>
      <c r="C121" s="4">
        <v>3</v>
      </c>
      <c r="D121" s="4">
        <v>140</v>
      </c>
      <c r="E121" s="4">
        <v>211</v>
      </c>
      <c r="F121" s="4">
        <v>1</v>
      </c>
      <c r="G121" s="4">
        <v>2</v>
      </c>
      <c r="H121" s="4">
        <v>165</v>
      </c>
      <c r="I121" s="4">
        <v>0</v>
      </c>
      <c r="J121" s="4">
        <v>0</v>
      </c>
      <c r="K121" s="4">
        <v>1</v>
      </c>
      <c r="L121" s="4">
        <v>0</v>
      </c>
      <c r="M121" s="4">
        <v>3</v>
      </c>
      <c r="N121" s="4">
        <v>0</v>
      </c>
      <c r="O121" s="4">
        <f t="shared" si="7"/>
        <v>-3.0731952740000006</v>
      </c>
      <c r="P121" s="4">
        <f t="shared" si="8"/>
        <v>4.4226564646711722E-2</v>
      </c>
      <c r="Q121" s="4">
        <f t="shared" si="9"/>
        <v>0</v>
      </c>
      <c r="R121" s="4">
        <f t="shared" si="10"/>
        <v>0</v>
      </c>
      <c r="S121" s="4">
        <f t="shared" si="11"/>
        <v>0.95577343535328829</v>
      </c>
      <c r="T121" s="4">
        <f t="shared" si="12"/>
        <v>4.5234386326126412E-2</v>
      </c>
    </row>
    <row r="122" spans="1:20" x14ac:dyDescent="0.25">
      <c r="A122" s="4">
        <v>35</v>
      </c>
      <c r="B122" s="4">
        <v>0</v>
      </c>
      <c r="C122" s="4">
        <v>4</v>
      </c>
      <c r="D122" s="4">
        <v>138</v>
      </c>
      <c r="E122" s="4">
        <v>183</v>
      </c>
      <c r="F122" s="4">
        <v>0</v>
      </c>
      <c r="G122" s="4">
        <v>0</v>
      </c>
      <c r="H122" s="4">
        <v>182</v>
      </c>
      <c r="I122" s="4">
        <v>0</v>
      </c>
      <c r="J122" s="4">
        <v>1.4</v>
      </c>
      <c r="K122" s="4">
        <v>1</v>
      </c>
      <c r="L122" s="4">
        <v>0</v>
      </c>
      <c r="M122" s="4">
        <v>3</v>
      </c>
      <c r="N122" s="4">
        <v>0</v>
      </c>
      <c r="O122" s="4">
        <f t="shared" si="7"/>
        <v>-3.1449892708</v>
      </c>
      <c r="P122" s="4">
        <f t="shared" si="8"/>
        <v>4.1289169516680393E-2</v>
      </c>
      <c r="Q122" s="4">
        <f t="shared" si="9"/>
        <v>0</v>
      </c>
      <c r="R122" s="4">
        <f t="shared" si="10"/>
        <v>0</v>
      </c>
      <c r="S122" s="4">
        <f t="shared" si="11"/>
        <v>0.95871083048331962</v>
      </c>
      <c r="T122" s="4">
        <f t="shared" si="12"/>
        <v>4.2165781911448784E-2</v>
      </c>
    </row>
    <row r="123" spans="1:20" x14ac:dyDescent="0.25">
      <c r="A123" s="4">
        <v>63</v>
      </c>
      <c r="B123" s="4">
        <v>1</v>
      </c>
      <c r="C123" s="4">
        <v>4</v>
      </c>
      <c r="D123" s="4">
        <v>130</v>
      </c>
      <c r="E123" s="4">
        <v>330</v>
      </c>
      <c r="F123" s="4">
        <v>1</v>
      </c>
      <c r="G123" s="4">
        <v>2</v>
      </c>
      <c r="H123" s="4">
        <v>132</v>
      </c>
      <c r="I123" s="4">
        <v>1</v>
      </c>
      <c r="J123" s="4">
        <v>1.8</v>
      </c>
      <c r="K123" s="4">
        <v>1</v>
      </c>
      <c r="L123" s="4">
        <v>3</v>
      </c>
      <c r="M123" s="4">
        <v>7</v>
      </c>
      <c r="N123" s="4">
        <v>1</v>
      </c>
      <c r="O123" s="4">
        <f t="shared" si="7"/>
        <v>5.0181677663999995</v>
      </c>
      <c r="P123" s="4">
        <f t="shared" si="8"/>
        <v>0.9934268532999424</v>
      </c>
      <c r="Q123" s="4">
        <f t="shared" si="9"/>
        <v>1</v>
      </c>
      <c r="R123" s="4">
        <f t="shared" si="10"/>
        <v>0</v>
      </c>
      <c r="S123" s="4">
        <f t="shared" si="11"/>
        <v>0.9934268532999424</v>
      </c>
      <c r="T123" s="4">
        <f t="shared" si="12"/>
        <v>6.5948449650137103E-3</v>
      </c>
    </row>
    <row r="124" spans="1:20" x14ac:dyDescent="0.25">
      <c r="A124" s="4">
        <v>65</v>
      </c>
      <c r="B124" s="4">
        <v>1</v>
      </c>
      <c r="C124" s="4">
        <v>4</v>
      </c>
      <c r="D124" s="4">
        <v>135</v>
      </c>
      <c r="E124" s="4">
        <v>254</v>
      </c>
      <c r="F124" s="4">
        <v>0</v>
      </c>
      <c r="G124" s="4">
        <v>2</v>
      </c>
      <c r="H124" s="4">
        <v>127</v>
      </c>
      <c r="I124" s="4">
        <v>0</v>
      </c>
      <c r="J124" s="4">
        <v>2.8</v>
      </c>
      <c r="K124" s="4">
        <v>2</v>
      </c>
      <c r="L124" s="4">
        <v>1</v>
      </c>
      <c r="M124" s="4">
        <v>7</v>
      </c>
      <c r="N124" s="4">
        <v>1</v>
      </c>
      <c r="O124" s="4">
        <f t="shared" si="7"/>
        <v>3.2115328113999997</v>
      </c>
      <c r="P124" s="4">
        <f t="shared" si="8"/>
        <v>0.96126597814496917</v>
      </c>
      <c r="Q124" s="4">
        <f t="shared" si="9"/>
        <v>1</v>
      </c>
      <c r="R124" s="4">
        <f t="shared" si="10"/>
        <v>0</v>
      </c>
      <c r="S124" s="4">
        <f t="shared" si="11"/>
        <v>0.96126597814496917</v>
      </c>
      <c r="T124" s="4">
        <f t="shared" si="12"/>
        <v>3.9504136042986346E-2</v>
      </c>
    </row>
    <row r="125" spans="1:20" x14ac:dyDescent="0.25">
      <c r="A125" s="4">
        <v>48</v>
      </c>
      <c r="B125" s="4">
        <v>1</v>
      </c>
      <c r="C125" s="4">
        <v>4</v>
      </c>
      <c r="D125" s="4">
        <v>130</v>
      </c>
      <c r="E125" s="4">
        <v>256</v>
      </c>
      <c r="F125" s="4">
        <v>1</v>
      </c>
      <c r="G125" s="4">
        <v>2</v>
      </c>
      <c r="H125" s="4">
        <v>150</v>
      </c>
      <c r="I125" s="4">
        <v>1</v>
      </c>
      <c r="J125" s="4">
        <v>0</v>
      </c>
      <c r="K125" s="4">
        <v>1</v>
      </c>
      <c r="L125" s="4">
        <v>2</v>
      </c>
      <c r="M125" s="4">
        <v>7</v>
      </c>
      <c r="N125" s="4">
        <v>1</v>
      </c>
      <c r="O125" s="4">
        <f t="shared" si="7"/>
        <v>2.7759386790000011</v>
      </c>
      <c r="P125" s="4">
        <f t="shared" si="8"/>
        <v>0.9413616614515079</v>
      </c>
      <c r="Q125" s="4">
        <f t="shared" si="9"/>
        <v>1</v>
      </c>
      <c r="R125" s="4">
        <f t="shared" si="10"/>
        <v>0</v>
      </c>
      <c r="S125" s="4">
        <f t="shared" si="11"/>
        <v>0.9413616614515079</v>
      </c>
      <c r="T125" s="4">
        <f t="shared" si="12"/>
        <v>6.042787587995882E-2</v>
      </c>
    </row>
    <row r="126" spans="1:20" x14ac:dyDescent="0.25">
      <c r="A126" s="4">
        <v>63</v>
      </c>
      <c r="B126" s="4">
        <v>0</v>
      </c>
      <c r="C126" s="4">
        <v>4</v>
      </c>
      <c r="D126" s="4">
        <v>150</v>
      </c>
      <c r="E126" s="4">
        <v>407</v>
      </c>
      <c r="F126" s="4">
        <v>0</v>
      </c>
      <c r="G126" s="4">
        <v>2</v>
      </c>
      <c r="H126" s="4">
        <v>154</v>
      </c>
      <c r="I126" s="4">
        <v>0</v>
      </c>
      <c r="J126" s="4">
        <v>4</v>
      </c>
      <c r="K126" s="4">
        <v>2</v>
      </c>
      <c r="L126" s="4">
        <v>3</v>
      </c>
      <c r="M126" s="4">
        <v>7</v>
      </c>
      <c r="N126" s="4">
        <v>1</v>
      </c>
      <c r="O126" s="4">
        <f t="shared" si="7"/>
        <v>5.3270956199999997</v>
      </c>
      <c r="P126" s="4">
        <f t="shared" si="8"/>
        <v>0.99516532812402592</v>
      </c>
      <c r="Q126" s="4">
        <f t="shared" si="9"/>
        <v>1</v>
      </c>
      <c r="R126" s="4">
        <f t="shared" si="10"/>
        <v>0</v>
      </c>
      <c r="S126" s="4">
        <f t="shared" si="11"/>
        <v>0.99516532812402592</v>
      </c>
      <c r="T126" s="4">
        <f t="shared" si="12"/>
        <v>4.8463967077894306E-3</v>
      </c>
    </row>
    <row r="127" spans="1:20" x14ac:dyDescent="0.25">
      <c r="A127" s="4">
        <v>51</v>
      </c>
      <c r="B127" s="4">
        <v>1</v>
      </c>
      <c r="C127" s="4">
        <v>3</v>
      </c>
      <c r="D127" s="4">
        <v>100</v>
      </c>
      <c r="E127" s="4">
        <v>222</v>
      </c>
      <c r="F127" s="4">
        <v>0</v>
      </c>
      <c r="G127" s="4">
        <v>0</v>
      </c>
      <c r="H127" s="4">
        <v>143</v>
      </c>
      <c r="I127" s="4">
        <v>1</v>
      </c>
      <c r="J127" s="4">
        <v>1.2</v>
      </c>
      <c r="K127" s="4">
        <v>2</v>
      </c>
      <c r="L127" s="4">
        <v>0</v>
      </c>
      <c r="M127" s="4">
        <v>3</v>
      </c>
      <c r="N127" s="4">
        <v>0</v>
      </c>
      <c r="O127" s="4">
        <f t="shared" si="7"/>
        <v>-1.1016520724000003</v>
      </c>
      <c r="P127" s="4">
        <f t="shared" si="8"/>
        <v>0.24943047379794012</v>
      </c>
      <c r="Q127" s="4">
        <f t="shared" si="9"/>
        <v>0</v>
      </c>
      <c r="R127" s="4">
        <f t="shared" si="10"/>
        <v>0</v>
      </c>
      <c r="S127" s="4">
        <f t="shared" si="11"/>
        <v>0.75056952620205986</v>
      </c>
      <c r="T127" s="4">
        <f t="shared" si="12"/>
        <v>0.28692299235657442</v>
      </c>
    </row>
    <row r="128" spans="1:20" x14ac:dyDescent="0.25">
      <c r="A128" s="4">
        <v>55</v>
      </c>
      <c r="B128" s="4">
        <v>1</v>
      </c>
      <c r="C128" s="4">
        <v>4</v>
      </c>
      <c r="D128" s="4">
        <v>140</v>
      </c>
      <c r="E128" s="4">
        <v>217</v>
      </c>
      <c r="F128" s="4">
        <v>0</v>
      </c>
      <c r="G128" s="4">
        <v>0</v>
      </c>
      <c r="H128" s="4">
        <v>111</v>
      </c>
      <c r="I128" s="4">
        <v>1</v>
      </c>
      <c r="J128" s="4">
        <v>5.6</v>
      </c>
      <c r="K128" s="4">
        <v>3</v>
      </c>
      <c r="L128" s="4">
        <v>0</v>
      </c>
      <c r="M128" s="4">
        <v>7</v>
      </c>
      <c r="N128" s="4">
        <v>1</v>
      </c>
      <c r="O128" s="4">
        <f t="shared" si="7"/>
        <v>4.0499563597999977</v>
      </c>
      <c r="P128" s="4">
        <f t="shared" si="8"/>
        <v>0.98287523216928097</v>
      </c>
      <c r="Q128" s="4">
        <f t="shared" si="9"/>
        <v>1</v>
      </c>
      <c r="R128" s="4">
        <f t="shared" si="10"/>
        <v>0</v>
      </c>
      <c r="S128" s="4">
        <f t="shared" si="11"/>
        <v>0.98287523216928097</v>
      </c>
      <c r="T128" s="4">
        <f t="shared" si="12"/>
        <v>1.7273092456031366E-2</v>
      </c>
    </row>
    <row r="129" spans="1:20" x14ac:dyDescent="0.25">
      <c r="A129" s="4">
        <v>65</v>
      </c>
      <c r="B129" s="4">
        <v>1</v>
      </c>
      <c r="C129" s="4">
        <v>1</v>
      </c>
      <c r="D129" s="4">
        <v>138</v>
      </c>
      <c r="E129" s="4">
        <v>282</v>
      </c>
      <c r="F129" s="4">
        <v>1</v>
      </c>
      <c r="G129" s="4">
        <v>2</v>
      </c>
      <c r="H129" s="4">
        <v>174</v>
      </c>
      <c r="I129" s="4">
        <v>0</v>
      </c>
      <c r="J129" s="4">
        <v>1.4</v>
      </c>
      <c r="K129" s="4">
        <v>2</v>
      </c>
      <c r="L129" s="4">
        <v>1</v>
      </c>
      <c r="M129" s="4">
        <v>3</v>
      </c>
      <c r="N129" s="4">
        <v>1</v>
      </c>
      <c r="O129" s="4">
        <f t="shared" si="7"/>
        <v>-2.0194338998000001</v>
      </c>
      <c r="P129" s="4">
        <f t="shared" si="8"/>
        <v>0.11717753953266864</v>
      </c>
      <c r="Q129" s="4">
        <f t="shared" si="9"/>
        <v>0</v>
      </c>
      <c r="R129" s="4">
        <f t="shared" si="10"/>
        <v>1</v>
      </c>
      <c r="S129" s="4">
        <f t="shared" si="11"/>
        <v>0.11717753953266864</v>
      </c>
      <c r="T129" s="4">
        <f t="shared" si="12"/>
        <v>2.1440650624176651</v>
      </c>
    </row>
    <row r="130" spans="1:20" x14ac:dyDescent="0.25">
      <c r="A130" s="4">
        <v>45</v>
      </c>
      <c r="B130" s="4">
        <v>0</v>
      </c>
      <c r="C130" s="4">
        <v>2</v>
      </c>
      <c r="D130" s="4">
        <v>130</v>
      </c>
      <c r="E130" s="4">
        <v>234</v>
      </c>
      <c r="F130" s="4">
        <v>0</v>
      </c>
      <c r="G130" s="4">
        <v>2</v>
      </c>
      <c r="H130" s="4">
        <v>175</v>
      </c>
      <c r="I130" s="4">
        <v>0</v>
      </c>
      <c r="J130" s="4">
        <v>0.6</v>
      </c>
      <c r="K130" s="4">
        <v>2</v>
      </c>
      <c r="L130" s="4">
        <v>0</v>
      </c>
      <c r="M130" s="4">
        <v>3</v>
      </c>
      <c r="N130" s="4">
        <v>0</v>
      </c>
      <c r="O130" s="4">
        <f t="shared" si="7"/>
        <v>-3.3689283351999997</v>
      </c>
      <c r="P130" s="4">
        <f t="shared" si="8"/>
        <v>3.3280770443527272E-2</v>
      </c>
      <c r="Q130" s="4">
        <f t="shared" si="9"/>
        <v>0</v>
      </c>
      <c r="R130" s="4">
        <f t="shared" si="10"/>
        <v>0</v>
      </c>
      <c r="S130" s="4">
        <f t="shared" si="11"/>
        <v>0.96671922955647271</v>
      </c>
      <c r="T130" s="4">
        <f t="shared" si="12"/>
        <v>3.3847177750722365E-2</v>
      </c>
    </row>
    <row r="131" spans="1:20" x14ac:dyDescent="0.25">
      <c r="A131" s="4">
        <v>56</v>
      </c>
      <c r="B131" s="4">
        <v>0</v>
      </c>
      <c r="C131" s="4">
        <v>4</v>
      </c>
      <c r="D131" s="4">
        <v>200</v>
      </c>
      <c r="E131" s="4">
        <v>288</v>
      </c>
      <c r="F131" s="4">
        <v>1</v>
      </c>
      <c r="G131" s="4">
        <v>2</v>
      </c>
      <c r="H131" s="4">
        <v>133</v>
      </c>
      <c r="I131" s="4">
        <v>1</v>
      </c>
      <c r="J131" s="4">
        <v>4</v>
      </c>
      <c r="K131" s="4">
        <v>3</v>
      </c>
      <c r="L131" s="4">
        <v>2</v>
      </c>
      <c r="M131" s="4">
        <v>7</v>
      </c>
      <c r="N131" s="4">
        <v>1</v>
      </c>
      <c r="O131" s="4">
        <f t="shared" si="7"/>
        <v>5.6744252760000009</v>
      </c>
      <c r="P131" s="4">
        <f t="shared" si="8"/>
        <v>0.99657910148649254</v>
      </c>
      <c r="Q131" s="4">
        <f t="shared" si="9"/>
        <v>1</v>
      </c>
      <c r="R131" s="4">
        <f t="shared" si="10"/>
        <v>0</v>
      </c>
      <c r="S131" s="4">
        <f t="shared" si="11"/>
        <v>0.99657910148649254</v>
      </c>
      <c r="T131" s="4">
        <f t="shared" si="12"/>
        <v>3.4267631655668235E-3</v>
      </c>
    </row>
    <row r="132" spans="1:20" x14ac:dyDescent="0.25">
      <c r="A132" s="4">
        <v>54</v>
      </c>
      <c r="B132" s="4">
        <v>1</v>
      </c>
      <c r="C132" s="4">
        <v>4</v>
      </c>
      <c r="D132" s="4">
        <v>110</v>
      </c>
      <c r="E132" s="4">
        <v>239</v>
      </c>
      <c r="F132" s="4">
        <v>0</v>
      </c>
      <c r="G132" s="4">
        <v>0</v>
      </c>
      <c r="H132" s="4">
        <v>126</v>
      </c>
      <c r="I132" s="4">
        <v>1</v>
      </c>
      <c r="J132" s="4">
        <v>2.8</v>
      </c>
      <c r="K132" s="4">
        <v>2</v>
      </c>
      <c r="L132" s="4">
        <v>1</v>
      </c>
      <c r="M132" s="4">
        <v>7</v>
      </c>
      <c r="N132" s="4">
        <v>1</v>
      </c>
      <c r="O132" s="4">
        <f t="shared" si="7"/>
        <v>3.1477235423999996</v>
      </c>
      <c r="P132" s="4">
        <f t="shared" si="8"/>
        <v>0.95881892926378254</v>
      </c>
      <c r="Q132" s="4">
        <f t="shared" si="9"/>
        <v>1</v>
      </c>
      <c r="R132" s="4">
        <f t="shared" si="10"/>
        <v>0</v>
      </c>
      <c r="S132" s="4">
        <f t="shared" si="11"/>
        <v>0.95881892926378254</v>
      </c>
      <c r="T132" s="4">
        <f t="shared" si="12"/>
        <v>4.2053033955357935E-2</v>
      </c>
    </row>
    <row r="133" spans="1:20" x14ac:dyDescent="0.25">
      <c r="A133" s="4">
        <v>44</v>
      </c>
      <c r="B133" s="4">
        <v>1</v>
      </c>
      <c r="C133" s="4">
        <v>2</v>
      </c>
      <c r="D133" s="4">
        <v>120</v>
      </c>
      <c r="E133" s="4">
        <v>220</v>
      </c>
      <c r="F133" s="4">
        <v>0</v>
      </c>
      <c r="G133" s="4">
        <v>0</v>
      </c>
      <c r="H133" s="4">
        <v>170</v>
      </c>
      <c r="I133" s="4">
        <v>0</v>
      </c>
      <c r="J133" s="4">
        <v>0</v>
      </c>
      <c r="K133" s="4">
        <v>1</v>
      </c>
      <c r="L133" s="4">
        <v>0</v>
      </c>
      <c r="M133" s="4">
        <v>3</v>
      </c>
      <c r="N133" s="4">
        <v>0</v>
      </c>
      <c r="O133" s="4">
        <f t="shared" si="7"/>
        <v>-3.4584892500000004</v>
      </c>
      <c r="P133" s="4">
        <f t="shared" si="8"/>
        <v>3.0516697763617824E-2</v>
      </c>
      <c r="Q133" s="4">
        <f t="shared" si="9"/>
        <v>0</v>
      </c>
      <c r="R133" s="4">
        <f t="shared" si="10"/>
        <v>0</v>
      </c>
      <c r="S133" s="4">
        <f t="shared" si="11"/>
        <v>0.96948330223638213</v>
      </c>
      <c r="T133" s="4">
        <f t="shared" si="12"/>
        <v>3.099202751491573E-2</v>
      </c>
    </row>
    <row r="134" spans="1:20" x14ac:dyDescent="0.25">
      <c r="A134" s="4">
        <v>62</v>
      </c>
      <c r="B134" s="4">
        <v>0</v>
      </c>
      <c r="C134" s="4">
        <v>4</v>
      </c>
      <c r="D134" s="4">
        <v>124</v>
      </c>
      <c r="E134" s="4">
        <v>209</v>
      </c>
      <c r="F134" s="4">
        <v>0</v>
      </c>
      <c r="G134" s="4">
        <v>0</v>
      </c>
      <c r="H134" s="4">
        <v>163</v>
      </c>
      <c r="I134" s="4">
        <v>0</v>
      </c>
      <c r="J134" s="4">
        <v>0</v>
      </c>
      <c r="K134" s="4">
        <v>1</v>
      </c>
      <c r="L134" s="4">
        <v>0</v>
      </c>
      <c r="M134" s="4">
        <v>3</v>
      </c>
      <c r="N134" s="4">
        <v>0</v>
      </c>
      <c r="O134" s="4">
        <f t="shared" si="7"/>
        <v>-3.6877820789999989</v>
      </c>
      <c r="P134" s="4">
        <f t="shared" si="8"/>
        <v>2.4416369971382197E-2</v>
      </c>
      <c r="Q134" s="4">
        <f t="shared" si="9"/>
        <v>0</v>
      </c>
      <c r="R134" s="4">
        <f t="shared" si="10"/>
        <v>0</v>
      </c>
      <c r="S134" s="4">
        <f t="shared" si="11"/>
        <v>0.97558363002861781</v>
      </c>
      <c r="T134" s="4">
        <f t="shared" si="12"/>
        <v>2.4719392169607977E-2</v>
      </c>
    </row>
    <row r="135" spans="1:20" x14ac:dyDescent="0.25">
      <c r="A135" s="4">
        <v>54</v>
      </c>
      <c r="B135" s="4">
        <v>1</v>
      </c>
      <c r="C135" s="4">
        <v>3</v>
      </c>
      <c r="D135" s="4">
        <v>120</v>
      </c>
      <c r="E135" s="4">
        <v>258</v>
      </c>
      <c r="F135" s="4">
        <v>0</v>
      </c>
      <c r="G135" s="4">
        <v>2</v>
      </c>
      <c r="H135" s="4">
        <v>147</v>
      </c>
      <c r="I135" s="4">
        <v>0</v>
      </c>
      <c r="J135" s="4">
        <v>0.4</v>
      </c>
      <c r="K135" s="4">
        <v>2</v>
      </c>
      <c r="L135" s="4">
        <v>0</v>
      </c>
      <c r="M135" s="4">
        <v>7</v>
      </c>
      <c r="N135" s="4">
        <v>0</v>
      </c>
      <c r="O135" s="4">
        <f t="shared" ref="O135:O198" si="13">SUMPRODUCT(A$4:M$4, A135:M135)+N$4</f>
        <v>0.1759661892000004</v>
      </c>
      <c r="P135" s="4">
        <f t="shared" ref="P135:P198" si="14">1/(1+EXP(0-O135))</f>
        <v>0.54387838446408998</v>
      </c>
      <c r="Q135" s="4">
        <f t="shared" ref="Q135:Q198" si="15">IF(P135&lt;=0.5, 0, 1)</f>
        <v>1</v>
      </c>
      <c r="R135" s="4">
        <f t="shared" ref="R135:R198" si="16">IF(N135=Q135, 0, 1)</f>
        <v>1</v>
      </c>
      <c r="S135" s="4">
        <f t="shared" ref="S135:S198" si="17">IF(N135=1, P135, 1-P135)</f>
        <v>0.45612161553591002</v>
      </c>
      <c r="T135" s="4">
        <f t="shared" ref="T135:T198" si="18">IF(S135=0, 1000000, -LN(S135))</f>
        <v>0.7849958042894255</v>
      </c>
    </row>
    <row r="136" spans="1:20" x14ac:dyDescent="0.25">
      <c r="A136" s="4">
        <v>51</v>
      </c>
      <c r="B136" s="4">
        <v>1</v>
      </c>
      <c r="C136" s="4">
        <v>3</v>
      </c>
      <c r="D136" s="4">
        <v>94</v>
      </c>
      <c r="E136" s="4">
        <v>227</v>
      </c>
      <c r="F136" s="4">
        <v>0</v>
      </c>
      <c r="G136" s="4">
        <v>0</v>
      </c>
      <c r="H136" s="4">
        <v>154</v>
      </c>
      <c r="I136" s="4">
        <v>1</v>
      </c>
      <c r="J136" s="4">
        <v>0</v>
      </c>
      <c r="K136" s="4">
        <v>1</v>
      </c>
      <c r="L136" s="4">
        <v>1</v>
      </c>
      <c r="M136" s="4">
        <v>7</v>
      </c>
      <c r="N136" s="4">
        <v>0</v>
      </c>
      <c r="O136" s="4">
        <f t="shared" si="13"/>
        <v>0.32832109300000134</v>
      </c>
      <c r="P136" s="4">
        <f t="shared" si="14"/>
        <v>0.58135081692077495</v>
      </c>
      <c r="Q136" s="4">
        <f t="shared" si="15"/>
        <v>1</v>
      </c>
      <c r="R136" s="4">
        <f t="shared" si="16"/>
        <v>1</v>
      </c>
      <c r="S136" s="4">
        <f t="shared" si="17"/>
        <v>0.41864918307922505</v>
      </c>
      <c r="T136" s="4">
        <f t="shared" si="18"/>
        <v>0.87072198165516923</v>
      </c>
    </row>
    <row r="137" spans="1:20" x14ac:dyDescent="0.25">
      <c r="A137" s="4">
        <v>29</v>
      </c>
      <c r="B137" s="4">
        <v>1</v>
      </c>
      <c r="C137" s="4">
        <v>2</v>
      </c>
      <c r="D137" s="4">
        <v>130</v>
      </c>
      <c r="E137" s="4">
        <v>204</v>
      </c>
      <c r="F137" s="4">
        <v>0</v>
      </c>
      <c r="G137" s="4">
        <v>2</v>
      </c>
      <c r="H137" s="4">
        <v>202</v>
      </c>
      <c r="I137" s="4">
        <v>0</v>
      </c>
      <c r="J137" s="4">
        <v>0</v>
      </c>
      <c r="K137" s="4">
        <v>1</v>
      </c>
      <c r="L137" s="4">
        <v>0</v>
      </c>
      <c r="M137" s="4">
        <v>3</v>
      </c>
      <c r="N137" s="4">
        <v>0</v>
      </c>
      <c r="O137" s="4">
        <f t="shared" si="13"/>
        <v>-3.256507835999999</v>
      </c>
      <c r="P137" s="4">
        <f t="shared" si="14"/>
        <v>3.709374025705043E-2</v>
      </c>
      <c r="Q137" s="4">
        <f t="shared" si="15"/>
        <v>0</v>
      </c>
      <c r="R137" s="4">
        <f t="shared" si="16"/>
        <v>0</v>
      </c>
      <c r="S137" s="4">
        <f t="shared" si="17"/>
        <v>0.96290625974294952</v>
      </c>
      <c r="T137" s="4">
        <f t="shared" si="18"/>
        <v>3.7799213829675354E-2</v>
      </c>
    </row>
    <row r="138" spans="1:20" x14ac:dyDescent="0.25">
      <c r="A138" s="4">
        <v>51</v>
      </c>
      <c r="B138" s="4">
        <v>1</v>
      </c>
      <c r="C138" s="4">
        <v>4</v>
      </c>
      <c r="D138" s="4">
        <v>140</v>
      </c>
      <c r="E138" s="4">
        <v>261</v>
      </c>
      <c r="F138" s="4">
        <v>0</v>
      </c>
      <c r="G138" s="4">
        <v>2</v>
      </c>
      <c r="H138" s="4">
        <v>186</v>
      </c>
      <c r="I138" s="4">
        <v>1</v>
      </c>
      <c r="J138" s="4">
        <v>0</v>
      </c>
      <c r="K138" s="4">
        <v>1</v>
      </c>
      <c r="L138" s="4">
        <v>0</v>
      </c>
      <c r="M138" s="4">
        <v>3</v>
      </c>
      <c r="N138" s="4">
        <v>0</v>
      </c>
      <c r="O138" s="4">
        <f t="shared" si="13"/>
        <v>-0.63427023600000076</v>
      </c>
      <c r="P138" s="4">
        <f t="shared" si="14"/>
        <v>0.34654290631813983</v>
      </c>
      <c r="Q138" s="4">
        <f t="shared" si="15"/>
        <v>0</v>
      </c>
      <c r="R138" s="4">
        <f t="shared" si="16"/>
        <v>0</v>
      </c>
      <c r="S138" s="4">
        <f t="shared" si="17"/>
        <v>0.65345709368186022</v>
      </c>
      <c r="T138" s="4">
        <f t="shared" si="18"/>
        <v>0.42547840426022315</v>
      </c>
    </row>
    <row r="139" spans="1:20" x14ac:dyDescent="0.25">
      <c r="A139" s="4">
        <v>43</v>
      </c>
      <c r="B139" s="4">
        <v>0</v>
      </c>
      <c r="C139" s="4">
        <v>3</v>
      </c>
      <c r="D139" s="4">
        <v>122</v>
      </c>
      <c r="E139" s="4">
        <v>213</v>
      </c>
      <c r="F139" s="4">
        <v>0</v>
      </c>
      <c r="G139" s="4">
        <v>0</v>
      </c>
      <c r="H139" s="4">
        <v>165</v>
      </c>
      <c r="I139" s="4">
        <v>0</v>
      </c>
      <c r="J139" s="4">
        <v>0.2</v>
      </c>
      <c r="K139" s="4">
        <v>2</v>
      </c>
      <c r="L139" s="4">
        <v>0</v>
      </c>
      <c r="M139" s="4">
        <v>3</v>
      </c>
      <c r="N139" s="4">
        <v>0</v>
      </c>
      <c r="O139" s="4">
        <f t="shared" si="13"/>
        <v>-3.4445744443999997</v>
      </c>
      <c r="P139" s="4">
        <f t="shared" si="14"/>
        <v>3.09310735911663E-2</v>
      </c>
      <c r="Q139" s="4">
        <f t="shared" si="15"/>
        <v>0</v>
      </c>
      <c r="R139" s="4">
        <f t="shared" si="16"/>
        <v>0</v>
      </c>
      <c r="S139" s="4">
        <f t="shared" si="17"/>
        <v>0.96906892640883369</v>
      </c>
      <c r="T139" s="4">
        <f t="shared" si="18"/>
        <v>3.141953813623044E-2</v>
      </c>
    </row>
    <row r="140" spans="1:20" x14ac:dyDescent="0.25">
      <c r="A140" s="4">
        <v>55</v>
      </c>
      <c r="B140" s="4">
        <v>0</v>
      </c>
      <c r="C140" s="4">
        <v>2</v>
      </c>
      <c r="D140" s="4">
        <v>135</v>
      </c>
      <c r="E140" s="4">
        <v>250</v>
      </c>
      <c r="F140" s="4">
        <v>0</v>
      </c>
      <c r="G140" s="4">
        <v>2</v>
      </c>
      <c r="H140" s="4">
        <v>161</v>
      </c>
      <c r="I140" s="4">
        <v>0</v>
      </c>
      <c r="J140" s="4">
        <v>1.4</v>
      </c>
      <c r="K140" s="4">
        <v>2</v>
      </c>
      <c r="L140" s="4">
        <v>0</v>
      </c>
      <c r="M140" s="4">
        <v>3</v>
      </c>
      <c r="N140" s="4">
        <v>0</v>
      </c>
      <c r="O140" s="4">
        <f t="shared" si="13"/>
        <v>-2.8231761227999996</v>
      </c>
      <c r="P140" s="4">
        <f t="shared" si="14"/>
        <v>5.608455530063066E-2</v>
      </c>
      <c r="Q140" s="4">
        <f t="shared" si="15"/>
        <v>0</v>
      </c>
      <c r="R140" s="4">
        <f t="shared" si="16"/>
        <v>0</v>
      </c>
      <c r="S140" s="4">
        <f t="shared" si="17"/>
        <v>0.94391544469936939</v>
      </c>
      <c r="T140" s="4">
        <f t="shared" si="18"/>
        <v>5.7718688141425098E-2</v>
      </c>
    </row>
    <row r="141" spans="1:20" x14ac:dyDescent="0.25">
      <c r="A141" s="4">
        <v>70</v>
      </c>
      <c r="B141" s="4">
        <v>1</v>
      </c>
      <c r="C141" s="4">
        <v>4</v>
      </c>
      <c r="D141" s="4">
        <v>145</v>
      </c>
      <c r="E141" s="4">
        <v>174</v>
      </c>
      <c r="F141" s="4">
        <v>0</v>
      </c>
      <c r="G141" s="4">
        <v>0</v>
      </c>
      <c r="H141" s="4">
        <v>125</v>
      </c>
      <c r="I141" s="4">
        <v>1</v>
      </c>
      <c r="J141" s="4">
        <v>2.6</v>
      </c>
      <c r="K141" s="4">
        <v>3</v>
      </c>
      <c r="L141" s="4">
        <v>0</v>
      </c>
      <c r="M141" s="4">
        <v>7</v>
      </c>
      <c r="N141" s="4">
        <v>1</v>
      </c>
      <c r="O141" s="4">
        <f t="shared" si="13"/>
        <v>2.7115197078000008</v>
      </c>
      <c r="P141" s="4">
        <f t="shared" si="14"/>
        <v>0.93770298309455402</v>
      </c>
      <c r="Q141" s="4">
        <f t="shared" si="15"/>
        <v>1</v>
      </c>
      <c r="R141" s="4">
        <f t="shared" si="16"/>
        <v>0</v>
      </c>
      <c r="S141" s="4">
        <f t="shared" si="17"/>
        <v>0.93770298309455402</v>
      </c>
      <c r="T141" s="4">
        <f t="shared" si="18"/>
        <v>6.4322029272768519E-2</v>
      </c>
    </row>
    <row r="142" spans="1:20" x14ac:dyDescent="0.25">
      <c r="A142" s="4">
        <v>62</v>
      </c>
      <c r="B142" s="4">
        <v>1</v>
      </c>
      <c r="C142" s="4">
        <v>2</v>
      </c>
      <c r="D142" s="4">
        <v>120</v>
      </c>
      <c r="E142" s="4">
        <v>281</v>
      </c>
      <c r="F142" s="4">
        <v>0</v>
      </c>
      <c r="G142" s="4">
        <v>2</v>
      </c>
      <c r="H142" s="4">
        <v>103</v>
      </c>
      <c r="I142" s="4">
        <v>0</v>
      </c>
      <c r="J142" s="4">
        <v>1.4</v>
      </c>
      <c r="K142" s="4">
        <v>2</v>
      </c>
      <c r="L142" s="4">
        <v>1</v>
      </c>
      <c r="M142" s="4">
        <v>7</v>
      </c>
      <c r="N142" s="4">
        <v>1</v>
      </c>
      <c r="O142" s="4">
        <f t="shared" si="13"/>
        <v>2.0259839102000008</v>
      </c>
      <c r="P142" s="4">
        <f t="shared" si="14"/>
        <v>0.88349834197253885</v>
      </c>
      <c r="Q142" s="4">
        <f t="shared" si="15"/>
        <v>1</v>
      </c>
      <c r="R142" s="4">
        <f t="shared" si="16"/>
        <v>0</v>
      </c>
      <c r="S142" s="4">
        <f t="shared" si="17"/>
        <v>0.88349834197253885</v>
      </c>
      <c r="T142" s="4">
        <f t="shared" si="18"/>
        <v>0.12386586388228062</v>
      </c>
    </row>
    <row r="143" spans="1:20" x14ac:dyDescent="0.25">
      <c r="A143" s="4">
        <v>35</v>
      </c>
      <c r="B143" s="4">
        <v>1</v>
      </c>
      <c r="C143" s="4">
        <v>4</v>
      </c>
      <c r="D143" s="4">
        <v>120</v>
      </c>
      <c r="E143" s="4">
        <v>198</v>
      </c>
      <c r="F143" s="4">
        <v>0</v>
      </c>
      <c r="G143" s="4">
        <v>0</v>
      </c>
      <c r="H143" s="4">
        <v>130</v>
      </c>
      <c r="I143" s="4">
        <v>1</v>
      </c>
      <c r="J143" s="4">
        <v>1.6</v>
      </c>
      <c r="K143" s="4">
        <v>2</v>
      </c>
      <c r="L143" s="4">
        <v>0</v>
      </c>
      <c r="M143" s="4">
        <v>7</v>
      </c>
      <c r="N143" s="4">
        <v>1</v>
      </c>
      <c r="O143" s="4">
        <f t="shared" si="13"/>
        <v>1.8051586038000007</v>
      </c>
      <c r="P143" s="4">
        <f t="shared" si="14"/>
        <v>0.85877572911459554</v>
      </c>
      <c r="Q143" s="4">
        <f t="shared" si="15"/>
        <v>1</v>
      </c>
      <c r="R143" s="4">
        <f t="shared" si="16"/>
        <v>0</v>
      </c>
      <c r="S143" s="4">
        <f t="shared" si="17"/>
        <v>0.85877572911459554</v>
      </c>
      <c r="T143" s="4">
        <f t="shared" si="18"/>
        <v>0.15224747477114808</v>
      </c>
    </row>
    <row r="144" spans="1:20" x14ac:dyDescent="0.25">
      <c r="A144" s="4">
        <v>51</v>
      </c>
      <c r="B144" s="4">
        <v>1</v>
      </c>
      <c r="C144" s="4">
        <v>3</v>
      </c>
      <c r="D144" s="4">
        <v>125</v>
      </c>
      <c r="E144" s="4">
        <v>245</v>
      </c>
      <c r="F144" s="4">
        <v>1</v>
      </c>
      <c r="G144" s="4">
        <v>2</v>
      </c>
      <c r="H144" s="4">
        <v>166</v>
      </c>
      <c r="I144" s="4">
        <v>0</v>
      </c>
      <c r="J144" s="4">
        <v>2.4</v>
      </c>
      <c r="K144" s="4">
        <v>2</v>
      </c>
      <c r="L144" s="4">
        <v>0</v>
      </c>
      <c r="M144" s="4">
        <v>3</v>
      </c>
      <c r="N144" s="4">
        <v>0</v>
      </c>
      <c r="O144" s="4">
        <f t="shared" si="13"/>
        <v>-2.0217975727999997</v>
      </c>
      <c r="P144" s="4">
        <f t="shared" si="14"/>
        <v>0.11693324590450127</v>
      </c>
      <c r="Q144" s="4">
        <f t="shared" si="15"/>
        <v>0</v>
      </c>
      <c r="R144" s="4">
        <f t="shared" si="16"/>
        <v>0</v>
      </c>
      <c r="S144" s="4">
        <f t="shared" si="17"/>
        <v>0.88306675409549873</v>
      </c>
      <c r="T144" s="4">
        <f t="shared" si="18"/>
        <v>0.1243544820335024</v>
      </c>
    </row>
    <row r="145" spans="1:20" x14ac:dyDescent="0.25">
      <c r="A145" s="4">
        <v>59</v>
      </c>
      <c r="B145" s="4">
        <v>1</v>
      </c>
      <c r="C145" s="4">
        <v>2</v>
      </c>
      <c r="D145" s="4">
        <v>140</v>
      </c>
      <c r="E145" s="4">
        <v>221</v>
      </c>
      <c r="F145" s="4">
        <v>0</v>
      </c>
      <c r="G145" s="4">
        <v>0</v>
      </c>
      <c r="H145" s="4">
        <v>164</v>
      </c>
      <c r="I145" s="4">
        <v>1</v>
      </c>
      <c r="J145" s="4">
        <v>0</v>
      </c>
      <c r="K145" s="4">
        <v>1</v>
      </c>
      <c r="L145" s="4">
        <v>0</v>
      </c>
      <c r="M145" s="4">
        <v>3</v>
      </c>
      <c r="N145" s="4">
        <v>0</v>
      </c>
      <c r="O145" s="4">
        <f t="shared" si="13"/>
        <v>-2.1349022120000001</v>
      </c>
      <c r="P145" s="4">
        <f t="shared" si="14"/>
        <v>0.10575050576516631</v>
      </c>
      <c r="Q145" s="4">
        <f t="shared" si="15"/>
        <v>0</v>
      </c>
      <c r="R145" s="4">
        <f t="shared" si="16"/>
        <v>0</v>
      </c>
      <c r="S145" s="4">
        <f t="shared" si="17"/>
        <v>0.89424949423483369</v>
      </c>
      <c r="T145" s="4">
        <f t="shared" si="18"/>
        <v>0.11177046641785962</v>
      </c>
    </row>
    <row r="146" spans="1:20" x14ac:dyDescent="0.25">
      <c r="A146" s="4">
        <v>59</v>
      </c>
      <c r="B146" s="4">
        <v>1</v>
      </c>
      <c r="C146" s="4">
        <v>1</v>
      </c>
      <c r="D146" s="4">
        <v>170</v>
      </c>
      <c r="E146" s="4">
        <v>288</v>
      </c>
      <c r="F146" s="4">
        <v>0</v>
      </c>
      <c r="G146" s="4">
        <v>2</v>
      </c>
      <c r="H146" s="4">
        <v>159</v>
      </c>
      <c r="I146" s="4">
        <v>0</v>
      </c>
      <c r="J146" s="4">
        <v>0.2</v>
      </c>
      <c r="K146" s="4">
        <v>2</v>
      </c>
      <c r="L146" s="4">
        <v>0</v>
      </c>
      <c r="M146" s="4">
        <v>7</v>
      </c>
      <c r="N146" s="4">
        <v>1</v>
      </c>
      <c r="O146" s="4">
        <f t="shared" si="13"/>
        <v>7.985903599999844E-3</v>
      </c>
      <c r="P146" s="4">
        <f t="shared" si="14"/>
        <v>0.50199646528968722</v>
      </c>
      <c r="Q146" s="4">
        <f t="shared" si="15"/>
        <v>1</v>
      </c>
      <c r="R146" s="4">
        <f t="shared" si="16"/>
        <v>0</v>
      </c>
      <c r="S146" s="4">
        <f t="shared" si="17"/>
        <v>0.50199646528968722</v>
      </c>
      <c r="T146" s="4">
        <f t="shared" si="18"/>
        <v>0.6891622005708008</v>
      </c>
    </row>
    <row r="147" spans="1:20" x14ac:dyDescent="0.25">
      <c r="A147" s="4">
        <v>52</v>
      </c>
      <c r="B147" s="4">
        <v>1</v>
      </c>
      <c r="C147" s="4">
        <v>2</v>
      </c>
      <c r="D147" s="4">
        <v>128</v>
      </c>
      <c r="E147" s="4">
        <v>205</v>
      </c>
      <c r="F147" s="4">
        <v>1</v>
      </c>
      <c r="G147" s="4">
        <v>0</v>
      </c>
      <c r="H147" s="4">
        <v>184</v>
      </c>
      <c r="I147" s="4">
        <v>0</v>
      </c>
      <c r="J147" s="4">
        <v>0</v>
      </c>
      <c r="K147" s="4">
        <v>1</v>
      </c>
      <c r="L147" s="4">
        <v>0</v>
      </c>
      <c r="M147" s="4">
        <v>3</v>
      </c>
      <c r="N147" s="4">
        <v>0</v>
      </c>
      <c r="O147" s="4">
        <f t="shared" si="13"/>
        <v>-4.7655779429999985</v>
      </c>
      <c r="P147" s="4">
        <f t="shared" si="14"/>
        <v>8.4460210195977901E-3</v>
      </c>
      <c r="Q147" s="4">
        <f t="shared" si="15"/>
        <v>0</v>
      </c>
      <c r="R147" s="4">
        <f t="shared" si="16"/>
        <v>0</v>
      </c>
      <c r="S147" s="4">
        <f t="shared" si="17"/>
        <v>0.99155397898040221</v>
      </c>
      <c r="T147" s="4">
        <f t="shared" si="18"/>
        <v>8.4818907690328727E-3</v>
      </c>
    </row>
    <row r="148" spans="1:20" x14ac:dyDescent="0.25">
      <c r="A148" s="4">
        <v>64</v>
      </c>
      <c r="B148" s="4">
        <v>1</v>
      </c>
      <c r="C148" s="4">
        <v>3</v>
      </c>
      <c r="D148" s="4">
        <v>125</v>
      </c>
      <c r="E148" s="4">
        <v>309</v>
      </c>
      <c r="F148" s="4">
        <v>0</v>
      </c>
      <c r="G148" s="4">
        <v>0</v>
      </c>
      <c r="H148" s="4">
        <v>131</v>
      </c>
      <c r="I148" s="4">
        <v>1</v>
      </c>
      <c r="J148" s="4">
        <v>1.8</v>
      </c>
      <c r="K148" s="4">
        <v>2</v>
      </c>
      <c r="L148" s="4">
        <v>0</v>
      </c>
      <c r="M148" s="4">
        <v>7</v>
      </c>
      <c r="N148" s="4">
        <v>1</v>
      </c>
      <c r="O148" s="4">
        <f t="shared" si="13"/>
        <v>1.5221326184000006</v>
      </c>
      <c r="P148" s="4">
        <f t="shared" si="14"/>
        <v>0.82085230484613037</v>
      </c>
      <c r="Q148" s="4">
        <f t="shared" si="15"/>
        <v>1</v>
      </c>
      <c r="R148" s="4">
        <f t="shared" si="16"/>
        <v>0</v>
      </c>
      <c r="S148" s="4">
        <f t="shared" si="17"/>
        <v>0.82085230484613037</v>
      </c>
      <c r="T148" s="4">
        <f t="shared" si="18"/>
        <v>0.19741208236819263</v>
      </c>
    </row>
    <row r="149" spans="1:20" x14ac:dyDescent="0.25">
      <c r="A149" s="4">
        <v>58</v>
      </c>
      <c r="B149" s="4">
        <v>1</v>
      </c>
      <c r="C149" s="4">
        <v>3</v>
      </c>
      <c r="D149" s="4">
        <v>105</v>
      </c>
      <c r="E149" s="4">
        <v>240</v>
      </c>
      <c r="F149" s="4">
        <v>0</v>
      </c>
      <c r="G149" s="4">
        <v>2</v>
      </c>
      <c r="H149" s="4">
        <v>154</v>
      </c>
      <c r="I149" s="4">
        <v>1</v>
      </c>
      <c r="J149" s="4">
        <v>0.6</v>
      </c>
      <c r="K149" s="4">
        <v>2</v>
      </c>
      <c r="L149" s="4">
        <v>0</v>
      </c>
      <c r="M149" s="4">
        <v>7</v>
      </c>
      <c r="N149" s="4">
        <v>0</v>
      </c>
      <c r="O149" s="4">
        <f t="shared" si="13"/>
        <v>0.499684953800001</v>
      </c>
      <c r="P149" s="4">
        <f t="shared" si="14"/>
        <v>0.62238529131946785</v>
      </c>
      <c r="Q149" s="4">
        <f t="shared" si="15"/>
        <v>1</v>
      </c>
      <c r="R149" s="4">
        <f t="shared" si="16"/>
        <v>1</v>
      </c>
      <c r="S149" s="4">
        <f t="shared" si="17"/>
        <v>0.37761470868053215</v>
      </c>
      <c r="T149" s="4">
        <f t="shared" si="18"/>
        <v>0.97388089239599951</v>
      </c>
    </row>
    <row r="150" spans="1:20" x14ac:dyDescent="0.25">
      <c r="A150" s="4">
        <v>47</v>
      </c>
      <c r="B150" s="4">
        <v>1</v>
      </c>
      <c r="C150" s="4">
        <v>3</v>
      </c>
      <c r="D150" s="4">
        <v>108</v>
      </c>
      <c r="E150" s="4">
        <v>243</v>
      </c>
      <c r="F150" s="4">
        <v>0</v>
      </c>
      <c r="G150" s="4">
        <v>0</v>
      </c>
      <c r="H150" s="4">
        <v>152</v>
      </c>
      <c r="I150" s="4">
        <v>0</v>
      </c>
      <c r="J150" s="4">
        <v>0</v>
      </c>
      <c r="K150" s="4">
        <v>1</v>
      </c>
      <c r="L150" s="4">
        <v>0</v>
      </c>
      <c r="M150" s="4">
        <v>3</v>
      </c>
      <c r="N150" s="4">
        <v>1</v>
      </c>
      <c r="O150" s="4">
        <f t="shared" si="13"/>
        <v>-2.7267430219999991</v>
      </c>
      <c r="P150" s="4">
        <f t="shared" si="14"/>
        <v>6.1413633581793199E-2</v>
      </c>
      <c r="Q150" s="4">
        <f t="shared" si="15"/>
        <v>0</v>
      </c>
      <c r="R150" s="4">
        <f t="shared" si="16"/>
        <v>1</v>
      </c>
      <c r="S150" s="4">
        <f t="shared" si="17"/>
        <v>6.1413633581793199E-2</v>
      </c>
      <c r="T150" s="4">
        <f t="shared" si="18"/>
        <v>2.7901234231713725</v>
      </c>
    </row>
    <row r="151" spans="1:20" x14ac:dyDescent="0.25">
      <c r="A151" s="4">
        <v>57</v>
      </c>
      <c r="B151" s="4">
        <v>1</v>
      </c>
      <c r="C151" s="4">
        <v>4</v>
      </c>
      <c r="D151" s="4">
        <v>165</v>
      </c>
      <c r="E151" s="4">
        <v>289</v>
      </c>
      <c r="F151" s="4">
        <v>1</v>
      </c>
      <c r="G151" s="4">
        <v>2</v>
      </c>
      <c r="H151" s="4">
        <v>124</v>
      </c>
      <c r="I151" s="4">
        <v>0</v>
      </c>
      <c r="J151" s="4">
        <v>1</v>
      </c>
      <c r="K151" s="4">
        <v>2</v>
      </c>
      <c r="L151" s="4">
        <v>3</v>
      </c>
      <c r="M151" s="4">
        <v>7</v>
      </c>
      <c r="N151" s="4">
        <v>1</v>
      </c>
      <c r="O151" s="4">
        <f t="shared" si="13"/>
        <v>5.3511992710000005</v>
      </c>
      <c r="P151" s="4">
        <f t="shared" si="14"/>
        <v>0.99527992467609261</v>
      </c>
      <c r="Q151" s="4">
        <f t="shared" si="15"/>
        <v>1</v>
      </c>
      <c r="R151" s="4">
        <f t="shared" si="16"/>
        <v>0</v>
      </c>
      <c r="S151" s="4">
        <f t="shared" si="17"/>
        <v>0.99527992467609261</v>
      </c>
      <c r="T151" s="4">
        <f t="shared" si="18"/>
        <v>4.7312500570266449E-3</v>
      </c>
    </row>
    <row r="152" spans="1:20" x14ac:dyDescent="0.25">
      <c r="A152" s="4">
        <v>41</v>
      </c>
      <c r="B152" s="4">
        <v>1</v>
      </c>
      <c r="C152" s="4">
        <v>3</v>
      </c>
      <c r="D152" s="4">
        <v>112</v>
      </c>
      <c r="E152" s="4">
        <v>250</v>
      </c>
      <c r="F152" s="4">
        <v>0</v>
      </c>
      <c r="G152" s="4">
        <v>0</v>
      </c>
      <c r="H152" s="4">
        <v>179</v>
      </c>
      <c r="I152" s="4">
        <v>0</v>
      </c>
      <c r="J152" s="4">
        <v>0</v>
      </c>
      <c r="K152" s="4">
        <v>1</v>
      </c>
      <c r="L152" s="4">
        <v>0</v>
      </c>
      <c r="M152" s="4">
        <v>3</v>
      </c>
      <c r="N152" s="4">
        <v>0</v>
      </c>
      <c r="O152" s="4">
        <f t="shared" si="13"/>
        <v>-3.0685603910000001</v>
      </c>
      <c r="P152" s="4">
        <f t="shared" si="14"/>
        <v>4.4422898213739279E-2</v>
      </c>
      <c r="Q152" s="4">
        <f t="shared" si="15"/>
        <v>0</v>
      </c>
      <c r="R152" s="4">
        <f t="shared" si="16"/>
        <v>0</v>
      </c>
      <c r="S152" s="4">
        <f t="shared" si="17"/>
        <v>0.95557710178626076</v>
      </c>
      <c r="T152" s="4">
        <f t="shared" si="18"/>
        <v>4.5439825949997688E-2</v>
      </c>
    </row>
    <row r="153" spans="1:20" x14ac:dyDescent="0.25">
      <c r="A153" s="4">
        <v>45</v>
      </c>
      <c r="B153" s="4">
        <v>1</v>
      </c>
      <c r="C153" s="4">
        <v>2</v>
      </c>
      <c r="D153" s="4">
        <v>128</v>
      </c>
      <c r="E153" s="4">
        <v>308</v>
      </c>
      <c r="F153" s="4">
        <v>0</v>
      </c>
      <c r="G153" s="4">
        <v>2</v>
      </c>
      <c r="H153" s="4">
        <v>170</v>
      </c>
      <c r="I153" s="4">
        <v>0</v>
      </c>
      <c r="J153" s="4">
        <v>0</v>
      </c>
      <c r="K153" s="4">
        <v>1</v>
      </c>
      <c r="L153" s="4">
        <v>0</v>
      </c>
      <c r="M153" s="4">
        <v>3</v>
      </c>
      <c r="N153" s="4">
        <v>0</v>
      </c>
      <c r="O153" s="4">
        <f t="shared" si="13"/>
        <v>-2.350384555999999</v>
      </c>
      <c r="P153" s="4">
        <f t="shared" si="14"/>
        <v>8.7035210735590174E-2</v>
      </c>
      <c r="Q153" s="4">
        <f t="shared" si="15"/>
        <v>0</v>
      </c>
      <c r="R153" s="4">
        <f t="shared" si="16"/>
        <v>0</v>
      </c>
      <c r="S153" s="4">
        <f t="shared" si="17"/>
        <v>0.91296478926440983</v>
      </c>
      <c r="T153" s="4">
        <f t="shared" si="18"/>
        <v>9.1057965106309674E-2</v>
      </c>
    </row>
    <row r="154" spans="1:20" x14ac:dyDescent="0.25">
      <c r="A154" s="4">
        <v>60</v>
      </c>
      <c r="B154" s="4">
        <v>0</v>
      </c>
      <c r="C154" s="4">
        <v>3</v>
      </c>
      <c r="D154" s="4">
        <v>102</v>
      </c>
      <c r="E154" s="4">
        <v>318</v>
      </c>
      <c r="F154" s="4">
        <v>0</v>
      </c>
      <c r="G154" s="4">
        <v>0</v>
      </c>
      <c r="H154" s="4">
        <v>160</v>
      </c>
      <c r="I154" s="4">
        <v>0</v>
      </c>
      <c r="J154" s="4">
        <v>0</v>
      </c>
      <c r="K154" s="4">
        <v>1</v>
      </c>
      <c r="L154" s="4">
        <v>1</v>
      </c>
      <c r="M154" s="4">
        <v>3</v>
      </c>
      <c r="N154" s="4">
        <v>0</v>
      </c>
      <c r="O154" s="4">
        <f t="shared" si="13"/>
        <v>-2.8901384149999991</v>
      </c>
      <c r="P154" s="4">
        <f t="shared" si="14"/>
        <v>5.2643214987852301E-2</v>
      </c>
      <c r="Q154" s="4">
        <f t="shared" si="15"/>
        <v>0</v>
      </c>
      <c r="R154" s="4">
        <f t="shared" si="16"/>
        <v>0</v>
      </c>
      <c r="S154" s="4">
        <f t="shared" si="17"/>
        <v>0.94735678501214771</v>
      </c>
      <c r="T154" s="4">
        <f t="shared" si="18"/>
        <v>5.4079503832883555E-2</v>
      </c>
    </row>
    <row r="155" spans="1:20" x14ac:dyDescent="0.25">
      <c r="A155" s="4">
        <v>52</v>
      </c>
      <c r="B155" s="4">
        <v>1</v>
      </c>
      <c r="C155" s="4">
        <v>1</v>
      </c>
      <c r="D155" s="4">
        <v>152</v>
      </c>
      <c r="E155" s="4">
        <v>298</v>
      </c>
      <c r="F155" s="4">
        <v>1</v>
      </c>
      <c r="G155" s="4">
        <v>0</v>
      </c>
      <c r="H155" s="4">
        <v>178</v>
      </c>
      <c r="I155" s="4">
        <v>0</v>
      </c>
      <c r="J155" s="4">
        <v>1.2</v>
      </c>
      <c r="K155" s="4">
        <v>2</v>
      </c>
      <c r="L155" s="4">
        <v>0</v>
      </c>
      <c r="M155" s="4">
        <v>7</v>
      </c>
      <c r="N155" s="4">
        <v>0</v>
      </c>
      <c r="O155" s="4">
        <f t="shared" si="13"/>
        <v>-1.9332125264000002</v>
      </c>
      <c r="P155" s="4">
        <f t="shared" si="14"/>
        <v>0.12639542821210839</v>
      </c>
      <c r="Q155" s="4">
        <f t="shared" si="15"/>
        <v>0</v>
      </c>
      <c r="R155" s="4">
        <f t="shared" si="16"/>
        <v>0</v>
      </c>
      <c r="S155" s="4">
        <f t="shared" si="17"/>
        <v>0.87360457178789164</v>
      </c>
      <c r="T155" s="4">
        <f t="shared" si="18"/>
        <v>0.13512744073150451</v>
      </c>
    </row>
    <row r="156" spans="1:20" x14ac:dyDescent="0.25">
      <c r="A156" s="4">
        <v>42</v>
      </c>
      <c r="B156" s="4">
        <v>0</v>
      </c>
      <c r="C156" s="4">
        <v>4</v>
      </c>
      <c r="D156" s="4">
        <v>102</v>
      </c>
      <c r="E156" s="4">
        <v>265</v>
      </c>
      <c r="F156" s="4">
        <v>0</v>
      </c>
      <c r="G156" s="4">
        <v>2</v>
      </c>
      <c r="H156" s="4">
        <v>122</v>
      </c>
      <c r="I156" s="4">
        <v>0</v>
      </c>
      <c r="J156" s="4">
        <v>0.6</v>
      </c>
      <c r="K156" s="4">
        <v>2</v>
      </c>
      <c r="L156" s="4">
        <v>0</v>
      </c>
      <c r="M156" s="4">
        <v>3</v>
      </c>
      <c r="N156" s="4">
        <v>0</v>
      </c>
      <c r="O156" s="4">
        <f t="shared" si="13"/>
        <v>-1.5978186881999994</v>
      </c>
      <c r="P156" s="4">
        <f t="shared" si="14"/>
        <v>0.1682867041101592</v>
      </c>
      <c r="Q156" s="4">
        <f t="shared" si="15"/>
        <v>0</v>
      </c>
      <c r="R156" s="4">
        <f t="shared" si="16"/>
        <v>0</v>
      </c>
      <c r="S156" s="4">
        <f t="shared" si="17"/>
        <v>0.83171329588984078</v>
      </c>
      <c r="T156" s="4">
        <f t="shared" si="18"/>
        <v>0.18426749383412119</v>
      </c>
    </row>
    <row r="157" spans="1:20" x14ac:dyDescent="0.25">
      <c r="A157" s="4">
        <v>67</v>
      </c>
      <c r="B157" s="4">
        <v>0</v>
      </c>
      <c r="C157" s="4">
        <v>3</v>
      </c>
      <c r="D157" s="4">
        <v>115</v>
      </c>
      <c r="E157" s="4">
        <v>564</v>
      </c>
      <c r="F157" s="4">
        <v>0</v>
      </c>
      <c r="G157" s="4">
        <v>2</v>
      </c>
      <c r="H157" s="4">
        <v>160</v>
      </c>
      <c r="I157" s="4">
        <v>0</v>
      </c>
      <c r="J157" s="4">
        <v>1.6</v>
      </c>
      <c r="K157" s="4">
        <v>2</v>
      </c>
      <c r="L157" s="4">
        <v>0</v>
      </c>
      <c r="M157" s="4">
        <v>7</v>
      </c>
      <c r="N157" s="4">
        <v>0</v>
      </c>
      <c r="O157" s="4">
        <f t="shared" si="13"/>
        <v>0.11639410780000148</v>
      </c>
      <c r="P157" s="4">
        <f t="shared" si="14"/>
        <v>0.52906572015589903</v>
      </c>
      <c r="Q157" s="4">
        <f t="shared" si="15"/>
        <v>1</v>
      </c>
      <c r="R157" s="4">
        <f t="shared" si="16"/>
        <v>1</v>
      </c>
      <c r="S157" s="4">
        <f t="shared" si="17"/>
        <v>0.47093427984410097</v>
      </c>
      <c r="T157" s="4">
        <f t="shared" si="18"/>
        <v>0.75303672794108811</v>
      </c>
    </row>
    <row r="158" spans="1:20" x14ac:dyDescent="0.25">
      <c r="A158" s="4">
        <v>55</v>
      </c>
      <c r="B158" s="4">
        <v>1</v>
      </c>
      <c r="C158" s="4">
        <v>4</v>
      </c>
      <c r="D158" s="4">
        <v>160</v>
      </c>
      <c r="E158" s="4">
        <v>289</v>
      </c>
      <c r="F158" s="4">
        <v>0</v>
      </c>
      <c r="G158" s="4">
        <v>2</v>
      </c>
      <c r="H158" s="4">
        <v>145</v>
      </c>
      <c r="I158" s="4">
        <v>1</v>
      </c>
      <c r="J158" s="4">
        <v>0.8</v>
      </c>
      <c r="K158" s="4">
        <v>2</v>
      </c>
      <c r="L158" s="4">
        <v>1</v>
      </c>
      <c r="M158" s="4">
        <v>7</v>
      </c>
      <c r="N158" s="4">
        <v>1</v>
      </c>
      <c r="O158" s="4">
        <f t="shared" si="13"/>
        <v>4.1884894374000012</v>
      </c>
      <c r="P158" s="4">
        <f t="shared" si="14"/>
        <v>0.98505748416230732</v>
      </c>
      <c r="Q158" s="4">
        <f t="shared" si="15"/>
        <v>1</v>
      </c>
      <c r="R158" s="4">
        <f t="shared" si="16"/>
        <v>0</v>
      </c>
      <c r="S158" s="4">
        <f t="shared" si="17"/>
        <v>0.98505748416230732</v>
      </c>
      <c r="T158" s="4">
        <f t="shared" si="18"/>
        <v>1.5055279957258839E-2</v>
      </c>
    </row>
    <row r="159" spans="1:20" x14ac:dyDescent="0.25">
      <c r="A159" s="4">
        <v>64</v>
      </c>
      <c r="B159" s="4">
        <v>1</v>
      </c>
      <c r="C159" s="4">
        <v>4</v>
      </c>
      <c r="D159" s="4">
        <v>120</v>
      </c>
      <c r="E159" s="4">
        <v>246</v>
      </c>
      <c r="F159" s="4">
        <v>0</v>
      </c>
      <c r="G159" s="4">
        <v>2</v>
      </c>
      <c r="H159" s="4">
        <v>96</v>
      </c>
      <c r="I159" s="4">
        <v>1</v>
      </c>
      <c r="J159" s="4">
        <v>2.2000000000000002</v>
      </c>
      <c r="K159" s="4">
        <v>3</v>
      </c>
      <c r="L159" s="4">
        <v>1</v>
      </c>
      <c r="M159" s="4">
        <v>3</v>
      </c>
      <c r="N159" s="4">
        <v>1</v>
      </c>
      <c r="O159" s="4">
        <f t="shared" si="13"/>
        <v>3.4376198785999996</v>
      </c>
      <c r="P159" s="4">
        <f t="shared" si="14"/>
        <v>0.96885978646589266</v>
      </c>
      <c r="Q159" s="4">
        <f t="shared" si="15"/>
        <v>1</v>
      </c>
      <c r="R159" s="4">
        <f t="shared" si="16"/>
        <v>0</v>
      </c>
      <c r="S159" s="4">
        <f t="shared" si="17"/>
        <v>0.96885978646589266</v>
      </c>
      <c r="T159" s="4">
        <f t="shared" si="18"/>
        <v>3.163537677091656E-2</v>
      </c>
    </row>
    <row r="160" spans="1:20" x14ac:dyDescent="0.25">
      <c r="A160" s="4">
        <v>70</v>
      </c>
      <c r="B160" s="4">
        <v>1</v>
      </c>
      <c r="C160" s="4">
        <v>4</v>
      </c>
      <c r="D160" s="4">
        <v>130</v>
      </c>
      <c r="E160" s="4">
        <v>322</v>
      </c>
      <c r="F160" s="4">
        <v>0</v>
      </c>
      <c r="G160" s="4">
        <v>2</v>
      </c>
      <c r="H160" s="4">
        <v>109</v>
      </c>
      <c r="I160" s="4">
        <v>0</v>
      </c>
      <c r="J160" s="4">
        <v>2.4</v>
      </c>
      <c r="K160" s="4">
        <v>2</v>
      </c>
      <c r="L160" s="4">
        <v>3</v>
      </c>
      <c r="M160" s="4">
        <v>3</v>
      </c>
      <c r="N160" s="4">
        <v>1</v>
      </c>
      <c r="O160" s="4">
        <f t="shared" si="13"/>
        <v>4.7928955482000006</v>
      </c>
      <c r="P160" s="4">
        <f t="shared" si="14"/>
        <v>0.99177971016598077</v>
      </c>
      <c r="Q160" s="4">
        <f t="shared" si="15"/>
        <v>1</v>
      </c>
      <c r="R160" s="4">
        <f t="shared" si="16"/>
        <v>0</v>
      </c>
      <c r="S160" s="4">
        <f t="shared" si="17"/>
        <v>0.99177971016598077</v>
      </c>
      <c r="T160" s="4">
        <f t="shared" si="18"/>
        <v>8.2542627225891171E-3</v>
      </c>
    </row>
    <row r="161" spans="1:20" x14ac:dyDescent="0.25">
      <c r="A161" s="4">
        <v>51</v>
      </c>
      <c r="B161" s="4">
        <v>1</v>
      </c>
      <c r="C161" s="4">
        <v>4</v>
      </c>
      <c r="D161" s="4">
        <v>140</v>
      </c>
      <c r="E161" s="4">
        <v>299</v>
      </c>
      <c r="F161" s="4">
        <v>0</v>
      </c>
      <c r="G161" s="4">
        <v>0</v>
      </c>
      <c r="H161" s="4">
        <v>173</v>
      </c>
      <c r="I161" s="4">
        <v>1</v>
      </c>
      <c r="J161" s="4">
        <v>1.6</v>
      </c>
      <c r="K161" s="4">
        <v>1</v>
      </c>
      <c r="L161" s="4">
        <v>0</v>
      </c>
      <c r="M161" s="4">
        <v>7</v>
      </c>
      <c r="N161" s="4">
        <v>1</v>
      </c>
      <c r="O161" s="4">
        <f t="shared" si="13"/>
        <v>1.1054464557999992</v>
      </c>
      <c r="P161" s="4">
        <f t="shared" si="14"/>
        <v>0.75127921576474577</v>
      </c>
      <c r="Q161" s="4">
        <f t="shared" si="15"/>
        <v>1</v>
      </c>
      <c r="R161" s="4">
        <f t="shared" si="16"/>
        <v>0</v>
      </c>
      <c r="S161" s="4">
        <f t="shared" si="17"/>
        <v>0.75127921576474577</v>
      </c>
      <c r="T161" s="4">
        <f t="shared" si="18"/>
        <v>0.28597790435179898</v>
      </c>
    </row>
    <row r="162" spans="1:20" x14ac:dyDescent="0.25">
      <c r="A162" s="4">
        <v>58</v>
      </c>
      <c r="B162" s="4">
        <v>1</v>
      </c>
      <c r="C162" s="4">
        <v>4</v>
      </c>
      <c r="D162" s="4">
        <v>125</v>
      </c>
      <c r="E162" s="4">
        <v>300</v>
      </c>
      <c r="F162" s="4">
        <v>0</v>
      </c>
      <c r="G162" s="4">
        <v>2</v>
      </c>
      <c r="H162" s="4">
        <v>171</v>
      </c>
      <c r="I162" s="4">
        <v>0</v>
      </c>
      <c r="J162" s="4">
        <v>0</v>
      </c>
      <c r="K162" s="4">
        <v>1</v>
      </c>
      <c r="L162" s="4">
        <v>2</v>
      </c>
      <c r="M162" s="4">
        <v>7</v>
      </c>
      <c r="N162" s="4">
        <v>1</v>
      </c>
      <c r="O162" s="4">
        <f t="shared" si="13"/>
        <v>2.3957923170000015</v>
      </c>
      <c r="P162" s="4">
        <f t="shared" si="14"/>
        <v>0.91650588338571248</v>
      </c>
      <c r="Q162" s="4">
        <f t="shared" si="15"/>
        <v>1</v>
      </c>
      <c r="R162" s="4">
        <f t="shared" si="16"/>
        <v>0</v>
      </c>
      <c r="S162" s="4">
        <f t="shared" si="17"/>
        <v>0.91650588338571248</v>
      </c>
      <c r="T162" s="4">
        <f t="shared" si="18"/>
        <v>8.7186792316857831E-2</v>
      </c>
    </row>
    <row r="163" spans="1:20" x14ac:dyDescent="0.25">
      <c r="A163" s="4">
        <v>60</v>
      </c>
      <c r="B163" s="4">
        <v>1</v>
      </c>
      <c r="C163" s="4">
        <v>4</v>
      </c>
      <c r="D163" s="4">
        <v>140</v>
      </c>
      <c r="E163" s="4">
        <v>293</v>
      </c>
      <c r="F163" s="4">
        <v>0</v>
      </c>
      <c r="G163" s="4">
        <v>2</v>
      </c>
      <c r="H163" s="4">
        <v>170</v>
      </c>
      <c r="I163" s="4">
        <v>0</v>
      </c>
      <c r="J163" s="4">
        <v>1.2</v>
      </c>
      <c r="K163" s="4">
        <v>2</v>
      </c>
      <c r="L163" s="4">
        <v>2</v>
      </c>
      <c r="M163" s="4">
        <v>7</v>
      </c>
      <c r="N163" s="4">
        <v>1</v>
      </c>
      <c r="O163" s="4">
        <f t="shared" si="13"/>
        <v>3.5807378365999991</v>
      </c>
      <c r="P163" s="4">
        <f t="shared" si="14"/>
        <v>0.97289974326399764</v>
      </c>
      <c r="Q163" s="4">
        <f t="shared" si="15"/>
        <v>1</v>
      </c>
      <c r="R163" s="4">
        <f t="shared" si="16"/>
        <v>0</v>
      </c>
      <c r="S163" s="4">
        <f t="shared" si="17"/>
        <v>0.97289974326399764</v>
      </c>
      <c r="T163" s="4">
        <f t="shared" si="18"/>
        <v>2.7474240888139427E-2</v>
      </c>
    </row>
    <row r="164" spans="1:20" x14ac:dyDescent="0.25">
      <c r="A164" s="4">
        <v>68</v>
      </c>
      <c r="B164" s="4">
        <v>1</v>
      </c>
      <c r="C164" s="4">
        <v>3</v>
      </c>
      <c r="D164" s="4">
        <v>118</v>
      </c>
      <c r="E164" s="4">
        <v>277</v>
      </c>
      <c r="F164" s="4">
        <v>0</v>
      </c>
      <c r="G164" s="4">
        <v>0</v>
      </c>
      <c r="H164" s="4">
        <v>151</v>
      </c>
      <c r="I164" s="4">
        <v>0</v>
      </c>
      <c r="J164" s="4">
        <v>1</v>
      </c>
      <c r="K164" s="4">
        <v>1</v>
      </c>
      <c r="L164" s="4">
        <v>1</v>
      </c>
      <c r="M164" s="4">
        <v>7</v>
      </c>
      <c r="N164" s="4">
        <v>0</v>
      </c>
      <c r="O164" s="4">
        <f t="shared" si="13"/>
        <v>0.29770276600000045</v>
      </c>
      <c r="P164" s="4">
        <f t="shared" si="14"/>
        <v>0.57388084306058529</v>
      </c>
      <c r="Q164" s="4">
        <f t="shared" si="15"/>
        <v>1</v>
      </c>
      <c r="R164" s="4">
        <f t="shared" si="16"/>
        <v>1</v>
      </c>
      <c r="S164" s="4">
        <f t="shared" si="17"/>
        <v>0.42611915693941471</v>
      </c>
      <c r="T164" s="4">
        <f t="shared" si="18"/>
        <v>0.85303626069924365</v>
      </c>
    </row>
    <row r="165" spans="1:20" x14ac:dyDescent="0.25">
      <c r="A165" s="4">
        <v>46</v>
      </c>
      <c r="B165" s="4">
        <v>1</v>
      </c>
      <c r="C165" s="4">
        <v>2</v>
      </c>
      <c r="D165" s="4">
        <v>101</v>
      </c>
      <c r="E165" s="4">
        <v>197</v>
      </c>
      <c r="F165" s="4">
        <v>1</v>
      </c>
      <c r="G165" s="4">
        <v>0</v>
      </c>
      <c r="H165" s="4">
        <v>156</v>
      </c>
      <c r="I165" s="4">
        <v>0</v>
      </c>
      <c r="J165" s="4">
        <v>0</v>
      </c>
      <c r="K165" s="4">
        <v>1</v>
      </c>
      <c r="L165" s="4">
        <v>0</v>
      </c>
      <c r="M165" s="4">
        <v>7</v>
      </c>
      <c r="N165" s="4">
        <v>0</v>
      </c>
      <c r="O165" s="4">
        <f t="shared" si="13"/>
        <v>-3.415451030999999</v>
      </c>
      <c r="P165" s="4">
        <f t="shared" si="14"/>
        <v>3.1816055845765641E-2</v>
      </c>
      <c r="Q165" s="4">
        <f t="shared" si="15"/>
        <v>0</v>
      </c>
      <c r="R165" s="4">
        <f t="shared" si="16"/>
        <v>0</v>
      </c>
      <c r="S165" s="4">
        <f t="shared" si="17"/>
        <v>0.96818394415423437</v>
      </c>
      <c r="T165" s="4">
        <f t="shared" si="18"/>
        <v>3.2333184805293E-2</v>
      </c>
    </row>
    <row r="166" spans="1:20" x14ac:dyDescent="0.25">
      <c r="A166" s="4">
        <v>77</v>
      </c>
      <c r="B166" s="4">
        <v>1</v>
      </c>
      <c r="C166" s="4">
        <v>4</v>
      </c>
      <c r="D166" s="4">
        <v>125</v>
      </c>
      <c r="E166" s="4">
        <v>304</v>
      </c>
      <c r="F166" s="4">
        <v>0</v>
      </c>
      <c r="G166" s="4">
        <v>2</v>
      </c>
      <c r="H166" s="4">
        <v>162</v>
      </c>
      <c r="I166" s="4">
        <v>1</v>
      </c>
      <c r="J166" s="4">
        <v>0</v>
      </c>
      <c r="K166" s="4">
        <v>1</v>
      </c>
      <c r="L166" s="4">
        <v>3</v>
      </c>
      <c r="M166" s="4">
        <v>3</v>
      </c>
      <c r="N166" s="4">
        <v>1</v>
      </c>
      <c r="O166" s="4">
        <f t="shared" si="13"/>
        <v>3.1508000349999996</v>
      </c>
      <c r="P166" s="4">
        <f t="shared" si="14"/>
        <v>0.95894023383557203</v>
      </c>
      <c r="Q166" s="4">
        <f t="shared" si="15"/>
        <v>1</v>
      </c>
      <c r="R166" s="4">
        <f t="shared" si="16"/>
        <v>0</v>
      </c>
      <c r="S166" s="4">
        <f t="shared" si="17"/>
        <v>0.95894023383557203</v>
      </c>
      <c r="T166" s="4">
        <f t="shared" si="18"/>
        <v>4.1926527380095134E-2</v>
      </c>
    </row>
    <row r="167" spans="1:20" x14ac:dyDescent="0.25">
      <c r="A167" s="4">
        <v>54</v>
      </c>
      <c r="B167" s="4">
        <v>0</v>
      </c>
      <c r="C167" s="4">
        <v>3</v>
      </c>
      <c r="D167" s="4">
        <v>110</v>
      </c>
      <c r="E167" s="4">
        <v>214</v>
      </c>
      <c r="F167" s="4">
        <v>0</v>
      </c>
      <c r="G167" s="4">
        <v>0</v>
      </c>
      <c r="H167" s="4">
        <v>158</v>
      </c>
      <c r="I167" s="4">
        <v>0</v>
      </c>
      <c r="J167" s="4">
        <v>1.6</v>
      </c>
      <c r="K167" s="4">
        <v>2</v>
      </c>
      <c r="L167" s="4">
        <v>0</v>
      </c>
      <c r="M167" s="4">
        <v>3</v>
      </c>
      <c r="N167" s="4">
        <v>0</v>
      </c>
      <c r="O167" s="4">
        <f t="shared" si="13"/>
        <v>-3.3928896161999997</v>
      </c>
      <c r="P167" s="4">
        <f t="shared" si="14"/>
        <v>3.2518422257311178E-2</v>
      </c>
      <c r="Q167" s="4">
        <f t="shared" si="15"/>
        <v>0</v>
      </c>
      <c r="R167" s="4">
        <f t="shared" si="16"/>
        <v>0</v>
      </c>
      <c r="S167" s="4">
        <f t="shared" si="17"/>
        <v>0.96748157774268884</v>
      </c>
      <c r="T167" s="4">
        <f t="shared" si="18"/>
        <v>3.3058895352312163E-2</v>
      </c>
    </row>
    <row r="168" spans="1:20" x14ac:dyDescent="0.25">
      <c r="A168" s="4">
        <v>58</v>
      </c>
      <c r="B168" s="4">
        <v>0</v>
      </c>
      <c r="C168" s="4">
        <v>4</v>
      </c>
      <c r="D168" s="4">
        <v>100</v>
      </c>
      <c r="E168" s="4">
        <v>248</v>
      </c>
      <c r="F168" s="4">
        <v>0</v>
      </c>
      <c r="G168" s="4">
        <v>2</v>
      </c>
      <c r="H168" s="4">
        <v>122</v>
      </c>
      <c r="I168" s="4">
        <v>0</v>
      </c>
      <c r="J168" s="4">
        <v>1</v>
      </c>
      <c r="K168" s="4">
        <v>2</v>
      </c>
      <c r="L168" s="4">
        <v>0</v>
      </c>
      <c r="M168" s="4">
        <v>3</v>
      </c>
      <c r="N168" s="4">
        <v>0</v>
      </c>
      <c r="O168" s="4">
        <f t="shared" si="13"/>
        <v>-1.8584399709999992</v>
      </c>
      <c r="P168" s="4">
        <f t="shared" si="14"/>
        <v>0.13488498967486837</v>
      </c>
      <c r="Q168" s="4">
        <f t="shared" si="15"/>
        <v>0</v>
      </c>
      <c r="R168" s="4">
        <f t="shared" si="16"/>
        <v>0</v>
      </c>
      <c r="S168" s="4">
        <f t="shared" si="17"/>
        <v>0.86511501032513161</v>
      </c>
      <c r="T168" s="4">
        <f t="shared" si="18"/>
        <v>0.14489282097519665</v>
      </c>
    </row>
    <row r="169" spans="1:20" x14ac:dyDescent="0.25">
      <c r="A169" s="4">
        <v>48</v>
      </c>
      <c r="B169" s="4">
        <v>1</v>
      </c>
      <c r="C169" s="4">
        <v>3</v>
      </c>
      <c r="D169" s="4">
        <v>124</v>
      </c>
      <c r="E169" s="4">
        <v>255</v>
      </c>
      <c r="F169" s="4">
        <v>1</v>
      </c>
      <c r="G169" s="4">
        <v>0</v>
      </c>
      <c r="H169" s="4">
        <v>175</v>
      </c>
      <c r="I169" s="4">
        <v>0</v>
      </c>
      <c r="J169" s="4">
        <v>0</v>
      </c>
      <c r="K169" s="4">
        <v>1</v>
      </c>
      <c r="L169" s="4">
        <v>2</v>
      </c>
      <c r="M169" s="4">
        <v>3</v>
      </c>
      <c r="N169" s="4">
        <v>0</v>
      </c>
      <c r="O169" s="4">
        <f t="shared" si="13"/>
        <v>-1.2580069719999996</v>
      </c>
      <c r="P169" s="4">
        <f t="shared" si="14"/>
        <v>0.22131717167799456</v>
      </c>
      <c r="Q169" s="4">
        <f t="shared" si="15"/>
        <v>0</v>
      </c>
      <c r="R169" s="4">
        <f t="shared" si="16"/>
        <v>0</v>
      </c>
      <c r="S169" s="4">
        <f t="shared" si="17"/>
        <v>0.77868282832200542</v>
      </c>
      <c r="T169" s="4">
        <f t="shared" si="18"/>
        <v>0.25015146836700186</v>
      </c>
    </row>
    <row r="170" spans="1:20" x14ac:dyDescent="0.25">
      <c r="A170" s="4">
        <v>57</v>
      </c>
      <c r="B170" s="4">
        <v>1</v>
      </c>
      <c r="C170" s="4">
        <v>4</v>
      </c>
      <c r="D170" s="4">
        <v>132</v>
      </c>
      <c r="E170" s="4">
        <v>207</v>
      </c>
      <c r="F170" s="4">
        <v>0</v>
      </c>
      <c r="G170" s="4">
        <v>0</v>
      </c>
      <c r="H170" s="4">
        <v>168</v>
      </c>
      <c r="I170" s="4">
        <v>1</v>
      </c>
      <c r="J170" s="4">
        <v>0</v>
      </c>
      <c r="K170" s="4">
        <v>1</v>
      </c>
      <c r="L170" s="4">
        <v>0</v>
      </c>
      <c r="M170" s="4">
        <v>7</v>
      </c>
      <c r="N170" s="4">
        <v>0</v>
      </c>
      <c r="O170" s="4">
        <f t="shared" si="13"/>
        <v>7.6046231999999492E-2</v>
      </c>
      <c r="P170" s="4">
        <f t="shared" si="14"/>
        <v>0.51900240126209185</v>
      </c>
      <c r="Q170" s="4">
        <f t="shared" si="15"/>
        <v>1</v>
      </c>
      <c r="R170" s="4">
        <f t="shared" si="16"/>
        <v>1</v>
      </c>
      <c r="S170" s="4">
        <f t="shared" si="17"/>
        <v>0.48099759873790815</v>
      </c>
      <c r="T170" s="4">
        <f t="shared" si="18"/>
        <v>0.73189300111771827</v>
      </c>
    </row>
    <row r="171" spans="1:20" x14ac:dyDescent="0.25">
      <c r="A171" s="4">
        <v>54</v>
      </c>
      <c r="B171" s="4">
        <v>0</v>
      </c>
      <c r="C171" s="4">
        <v>2</v>
      </c>
      <c r="D171" s="4">
        <v>132</v>
      </c>
      <c r="E171" s="4">
        <v>288</v>
      </c>
      <c r="F171" s="4">
        <v>1</v>
      </c>
      <c r="G171" s="4">
        <v>2</v>
      </c>
      <c r="H171" s="4">
        <v>159</v>
      </c>
      <c r="I171" s="4">
        <v>1</v>
      </c>
      <c r="J171" s="4">
        <v>0</v>
      </c>
      <c r="K171" s="4">
        <v>1</v>
      </c>
      <c r="L171" s="4">
        <v>1</v>
      </c>
      <c r="M171" s="4">
        <v>3</v>
      </c>
      <c r="N171" s="4">
        <v>0</v>
      </c>
      <c r="O171" s="4">
        <f t="shared" si="13"/>
        <v>-2.3944690869999992</v>
      </c>
      <c r="P171" s="4">
        <f t="shared" si="14"/>
        <v>8.3595429766155818E-2</v>
      </c>
      <c r="Q171" s="4">
        <f t="shared" si="15"/>
        <v>0</v>
      </c>
      <c r="R171" s="4">
        <f t="shared" si="16"/>
        <v>0</v>
      </c>
      <c r="S171" s="4">
        <f t="shared" si="17"/>
        <v>0.91640457023384414</v>
      </c>
      <c r="T171" s="4">
        <f t="shared" si="18"/>
        <v>8.7297341254773966E-2</v>
      </c>
    </row>
    <row r="172" spans="1:20" x14ac:dyDescent="0.25">
      <c r="A172" s="4">
        <v>35</v>
      </c>
      <c r="B172" s="4">
        <v>1</v>
      </c>
      <c r="C172" s="4">
        <v>4</v>
      </c>
      <c r="D172" s="4">
        <v>126</v>
      </c>
      <c r="E172" s="4">
        <v>282</v>
      </c>
      <c r="F172" s="4">
        <v>0</v>
      </c>
      <c r="G172" s="4">
        <v>2</v>
      </c>
      <c r="H172" s="4">
        <v>156</v>
      </c>
      <c r="I172" s="4">
        <v>1</v>
      </c>
      <c r="J172" s="4">
        <v>0</v>
      </c>
      <c r="K172" s="4">
        <v>1</v>
      </c>
      <c r="L172" s="4">
        <v>0</v>
      </c>
      <c r="M172" s="4">
        <v>7</v>
      </c>
      <c r="N172" s="4">
        <v>1</v>
      </c>
      <c r="O172" s="4">
        <f t="shared" si="13"/>
        <v>1.3562357400000007</v>
      </c>
      <c r="P172" s="4">
        <f t="shared" si="14"/>
        <v>0.79514722568580698</v>
      </c>
      <c r="Q172" s="4">
        <f t="shared" si="15"/>
        <v>1</v>
      </c>
      <c r="R172" s="4">
        <f t="shared" si="16"/>
        <v>0</v>
      </c>
      <c r="S172" s="4">
        <f t="shared" si="17"/>
        <v>0.79514722568580698</v>
      </c>
      <c r="T172" s="4">
        <f t="shared" si="18"/>
        <v>0.22922799193137605</v>
      </c>
    </row>
    <row r="173" spans="1:20" x14ac:dyDescent="0.25">
      <c r="A173" s="4">
        <v>45</v>
      </c>
      <c r="B173" s="4">
        <v>0</v>
      </c>
      <c r="C173" s="4">
        <v>2</v>
      </c>
      <c r="D173" s="4">
        <v>112</v>
      </c>
      <c r="E173" s="4">
        <v>160</v>
      </c>
      <c r="F173" s="4">
        <v>0</v>
      </c>
      <c r="G173" s="4">
        <v>0</v>
      </c>
      <c r="H173" s="4">
        <v>138</v>
      </c>
      <c r="I173" s="4">
        <v>0</v>
      </c>
      <c r="J173" s="4">
        <v>0</v>
      </c>
      <c r="K173" s="4">
        <v>2</v>
      </c>
      <c r="L173" s="4">
        <v>0</v>
      </c>
      <c r="M173" s="4">
        <v>3</v>
      </c>
      <c r="N173" s="4">
        <v>0</v>
      </c>
      <c r="O173" s="4">
        <f t="shared" si="13"/>
        <v>-4.0455696290000001</v>
      </c>
      <c r="P173" s="4">
        <f t="shared" si="14"/>
        <v>1.7198759748993799E-2</v>
      </c>
      <c r="Q173" s="4">
        <f t="shared" si="15"/>
        <v>0</v>
      </c>
      <c r="R173" s="4">
        <f t="shared" si="16"/>
        <v>0</v>
      </c>
      <c r="S173" s="4">
        <f t="shared" si="17"/>
        <v>0.98280124025100624</v>
      </c>
      <c r="T173" s="4">
        <f t="shared" si="18"/>
        <v>1.7348376379248468E-2</v>
      </c>
    </row>
    <row r="174" spans="1:20" x14ac:dyDescent="0.25">
      <c r="A174" s="4">
        <v>70</v>
      </c>
      <c r="B174" s="4">
        <v>1</v>
      </c>
      <c r="C174" s="4">
        <v>3</v>
      </c>
      <c r="D174" s="4">
        <v>160</v>
      </c>
      <c r="E174" s="4">
        <v>269</v>
      </c>
      <c r="F174" s="4">
        <v>0</v>
      </c>
      <c r="G174" s="4">
        <v>0</v>
      </c>
      <c r="H174" s="4">
        <v>112</v>
      </c>
      <c r="I174" s="4">
        <v>1</v>
      </c>
      <c r="J174" s="4">
        <v>2.9</v>
      </c>
      <c r="K174" s="4">
        <v>2</v>
      </c>
      <c r="L174" s="4">
        <v>1</v>
      </c>
      <c r="M174" s="4">
        <v>7</v>
      </c>
      <c r="N174" s="4">
        <v>1</v>
      </c>
      <c r="O174" s="4">
        <f t="shared" si="13"/>
        <v>4.0113744071999999</v>
      </c>
      <c r="P174" s="4">
        <f t="shared" si="14"/>
        <v>0.98221359524022867</v>
      </c>
      <c r="Q174" s="4">
        <f t="shared" si="15"/>
        <v>1</v>
      </c>
      <c r="R174" s="4">
        <f t="shared" si="16"/>
        <v>0</v>
      </c>
      <c r="S174" s="4">
        <f t="shared" si="17"/>
        <v>0.98221359524022867</v>
      </c>
      <c r="T174" s="4">
        <f t="shared" si="18"/>
        <v>1.7946483851703224E-2</v>
      </c>
    </row>
    <row r="175" spans="1:20" x14ac:dyDescent="0.25">
      <c r="A175" s="4">
        <v>53</v>
      </c>
      <c r="B175" s="4">
        <v>1</v>
      </c>
      <c r="C175" s="4">
        <v>4</v>
      </c>
      <c r="D175" s="4">
        <v>142</v>
      </c>
      <c r="E175" s="4">
        <v>226</v>
      </c>
      <c r="F175" s="4">
        <v>0</v>
      </c>
      <c r="G175" s="4">
        <v>2</v>
      </c>
      <c r="H175" s="4">
        <v>111</v>
      </c>
      <c r="I175" s="4">
        <v>1</v>
      </c>
      <c r="J175" s="4">
        <v>0</v>
      </c>
      <c r="K175" s="4">
        <v>1</v>
      </c>
      <c r="L175" s="4">
        <v>0</v>
      </c>
      <c r="M175" s="4">
        <v>7</v>
      </c>
      <c r="N175" s="4">
        <v>0</v>
      </c>
      <c r="O175" s="4">
        <f t="shared" si="13"/>
        <v>2.1361951770000012</v>
      </c>
      <c r="P175" s="4">
        <f t="shared" si="14"/>
        <v>0.89437170417716616</v>
      </c>
      <c r="Q175" s="4">
        <f t="shared" si="15"/>
        <v>1</v>
      </c>
      <c r="R175" s="4">
        <f t="shared" si="16"/>
        <v>1</v>
      </c>
      <c r="S175" s="4">
        <f t="shared" si="17"/>
        <v>0.10562829582283384</v>
      </c>
      <c r="T175" s="4">
        <f t="shared" si="18"/>
        <v>2.2478289907351892</v>
      </c>
    </row>
    <row r="176" spans="1:20" x14ac:dyDescent="0.25">
      <c r="A176" s="4">
        <v>59</v>
      </c>
      <c r="B176" s="4">
        <v>0</v>
      </c>
      <c r="C176" s="4">
        <v>4</v>
      </c>
      <c r="D176" s="4">
        <v>174</v>
      </c>
      <c r="E176" s="4">
        <v>249</v>
      </c>
      <c r="F176" s="4">
        <v>0</v>
      </c>
      <c r="G176" s="4">
        <v>0</v>
      </c>
      <c r="H176" s="4">
        <v>143</v>
      </c>
      <c r="I176" s="4">
        <v>1</v>
      </c>
      <c r="J176" s="4">
        <v>0</v>
      </c>
      <c r="K176" s="4">
        <v>2</v>
      </c>
      <c r="L176" s="4">
        <v>0</v>
      </c>
      <c r="M176" s="4">
        <v>3</v>
      </c>
      <c r="N176" s="4">
        <v>1</v>
      </c>
      <c r="O176" s="4">
        <f t="shared" si="13"/>
        <v>-0.33381572999999953</v>
      </c>
      <c r="P176" s="4">
        <f t="shared" si="14"/>
        <v>0.41731248794856712</v>
      </c>
      <c r="Q176" s="4">
        <f t="shared" si="15"/>
        <v>0</v>
      </c>
      <c r="R176" s="4">
        <f t="shared" si="16"/>
        <v>1</v>
      </c>
      <c r="S176" s="4">
        <f t="shared" si="17"/>
        <v>0.41731248794856712</v>
      </c>
      <c r="T176" s="4">
        <f t="shared" si="18"/>
        <v>0.87391996624272683</v>
      </c>
    </row>
    <row r="177" spans="1:20" x14ac:dyDescent="0.25">
      <c r="A177" s="4">
        <v>62</v>
      </c>
      <c r="B177" s="4">
        <v>0</v>
      </c>
      <c r="C177" s="4">
        <v>4</v>
      </c>
      <c r="D177" s="4">
        <v>140</v>
      </c>
      <c r="E177" s="4">
        <v>394</v>
      </c>
      <c r="F177" s="4">
        <v>0</v>
      </c>
      <c r="G177" s="4">
        <v>2</v>
      </c>
      <c r="H177" s="4">
        <v>157</v>
      </c>
      <c r="I177" s="4">
        <v>0</v>
      </c>
      <c r="J177" s="4">
        <v>1.2</v>
      </c>
      <c r="K177" s="4">
        <v>2</v>
      </c>
      <c r="L177" s="4">
        <v>0</v>
      </c>
      <c r="M177" s="4">
        <v>3</v>
      </c>
      <c r="N177" s="4">
        <v>0</v>
      </c>
      <c r="O177" s="4">
        <f t="shared" si="13"/>
        <v>-0.89771372439999997</v>
      </c>
      <c r="P177" s="4">
        <f t="shared" si="14"/>
        <v>0.28952055421181516</v>
      </c>
      <c r="Q177" s="4">
        <f t="shared" si="15"/>
        <v>0</v>
      </c>
      <c r="R177" s="4">
        <f t="shared" si="16"/>
        <v>0</v>
      </c>
      <c r="S177" s="4">
        <f t="shared" si="17"/>
        <v>0.71047944578818489</v>
      </c>
      <c r="T177" s="4">
        <f t="shared" si="18"/>
        <v>0.34181526108485438</v>
      </c>
    </row>
    <row r="178" spans="1:20" x14ac:dyDescent="0.25">
      <c r="A178" s="4">
        <v>64</v>
      </c>
      <c r="B178" s="4">
        <v>1</v>
      </c>
      <c r="C178" s="4">
        <v>4</v>
      </c>
      <c r="D178" s="4">
        <v>145</v>
      </c>
      <c r="E178" s="4">
        <v>212</v>
      </c>
      <c r="F178" s="4">
        <v>0</v>
      </c>
      <c r="G178" s="4">
        <v>2</v>
      </c>
      <c r="H178" s="4">
        <v>132</v>
      </c>
      <c r="I178" s="4">
        <v>0</v>
      </c>
      <c r="J178" s="4">
        <v>2</v>
      </c>
      <c r="K178" s="4">
        <v>2</v>
      </c>
      <c r="L178" s="4">
        <v>2</v>
      </c>
      <c r="M178" s="4">
        <v>6</v>
      </c>
      <c r="N178" s="4">
        <v>1</v>
      </c>
      <c r="O178" s="4">
        <f t="shared" si="13"/>
        <v>3.8788863219999996</v>
      </c>
      <c r="P178" s="4">
        <f t="shared" si="14"/>
        <v>0.97974491397151831</v>
      </c>
      <c r="Q178" s="4">
        <f t="shared" si="15"/>
        <v>1</v>
      </c>
      <c r="R178" s="4">
        <f t="shared" si="16"/>
        <v>0</v>
      </c>
      <c r="S178" s="4">
        <f t="shared" si="17"/>
        <v>0.97974491397151831</v>
      </c>
      <c r="T178" s="4">
        <f t="shared" si="18"/>
        <v>2.0463033065124363E-2</v>
      </c>
    </row>
    <row r="179" spans="1:20" x14ac:dyDescent="0.25">
      <c r="A179" s="4">
        <v>57</v>
      </c>
      <c r="B179" s="4">
        <v>1</v>
      </c>
      <c r="C179" s="4">
        <v>4</v>
      </c>
      <c r="D179" s="4">
        <v>152</v>
      </c>
      <c r="E179" s="4">
        <v>274</v>
      </c>
      <c r="F179" s="4">
        <v>0</v>
      </c>
      <c r="G179" s="4">
        <v>0</v>
      </c>
      <c r="H179" s="4">
        <v>88</v>
      </c>
      <c r="I179" s="4">
        <v>1</v>
      </c>
      <c r="J179" s="4">
        <v>1.2</v>
      </c>
      <c r="K179" s="4">
        <v>2</v>
      </c>
      <c r="L179" s="4">
        <v>1</v>
      </c>
      <c r="M179" s="4">
        <v>7</v>
      </c>
      <c r="N179" s="4">
        <v>1</v>
      </c>
      <c r="O179" s="4">
        <f t="shared" si="13"/>
        <v>4.6793714576000003</v>
      </c>
      <c r="P179" s="4">
        <f t="shared" si="14"/>
        <v>0.99080056735949784</v>
      </c>
      <c r="Q179" s="4">
        <f t="shared" si="15"/>
        <v>1</v>
      </c>
      <c r="R179" s="4">
        <f t="shared" si="16"/>
        <v>0</v>
      </c>
      <c r="S179" s="4">
        <f t="shared" si="17"/>
        <v>0.99080056735949784</v>
      </c>
      <c r="T179" s="4">
        <f t="shared" si="18"/>
        <v>9.2420087394240839E-3</v>
      </c>
    </row>
    <row r="180" spans="1:20" x14ac:dyDescent="0.25">
      <c r="A180" s="4">
        <v>52</v>
      </c>
      <c r="B180" s="4">
        <v>1</v>
      </c>
      <c r="C180" s="4">
        <v>4</v>
      </c>
      <c r="D180" s="4">
        <v>108</v>
      </c>
      <c r="E180" s="4">
        <v>233</v>
      </c>
      <c r="F180" s="4">
        <v>1</v>
      </c>
      <c r="G180" s="4">
        <v>0</v>
      </c>
      <c r="H180" s="4">
        <v>147</v>
      </c>
      <c r="I180" s="4">
        <v>0</v>
      </c>
      <c r="J180" s="4">
        <v>0.1</v>
      </c>
      <c r="K180" s="4">
        <v>1</v>
      </c>
      <c r="L180" s="4">
        <v>3</v>
      </c>
      <c r="M180" s="4">
        <v>7</v>
      </c>
      <c r="N180" s="4">
        <v>0</v>
      </c>
      <c r="O180" s="4">
        <f t="shared" si="13"/>
        <v>2.0134485578000003</v>
      </c>
      <c r="P180" s="4">
        <f t="shared" si="14"/>
        <v>0.88220187490082591</v>
      </c>
      <c r="Q180" s="4">
        <f t="shared" si="15"/>
        <v>1</v>
      </c>
      <c r="R180" s="4">
        <f t="shared" si="16"/>
        <v>1</v>
      </c>
      <c r="S180" s="4">
        <f t="shared" si="17"/>
        <v>0.11779812509917409</v>
      </c>
      <c r="T180" s="4">
        <f t="shared" si="18"/>
        <v>2.1387829238575753</v>
      </c>
    </row>
    <row r="181" spans="1:20" x14ac:dyDescent="0.25">
      <c r="A181" s="4">
        <v>56</v>
      </c>
      <c r="B181" s="4">
        <v>1</v>
      </c>
      <c r="C181" s="4">
        <v>4</v>
      </c>
      <c r="D181" s="4">
        <v>132</v>
      </c>
      <c r="E181" s="4">
        <v>184</v>
      </c>
      <c r="F181" s="4">
        <v>0</v>
      </c>
      <c r="G181" s="4">
        <v>2</v>
      </c>
      <c r="H181" s="4">
        <v>105</v>
      </c>
      <c r="I181" s="4">
        <v>1</v>
      </c>
      <c r="J181" s="4">
        <v>2.1</v>
      </c>
      <c r="K181" s="4">
        <v>2</v>
      </c>
      <c r="L181" s="4">
        <v>1</v>
      </c>
      <c r="M181" s="4">
        <v>6</v>
      </c>
      <c r="N181" s="4">
        <v>1</v>
      </c>
      <c r="O181" s="4">
        <f t="shared" si="13"/>
        <v>3.7807742548000007</v>
      </c>
      <c r="P181" s="4">
        <f t="shared" si="14"/>
        <v>0.97770344584900126</v>
      </c>
      <c r="Q181" s="4">
        <f t="shared" si="15"/>
        <v>1</v>
      </c>
      <c r="R181" s="4">
        <f t="shared" si="16"/>
        <v>0</v>
      </c>
      <c r="S181" s="4">
        <f t="shared" si="17"/>
        <v>0.97770344584900126</v>
      </c>
      <c r="T181" s="4">
        <f t="shared" si="18"/>
        <v>2.2548880032617541E-2</v>
      </c>
    </row>
    <row r="182" spans="1:20" x14ac:dyDescent="0.25">
      <c r="A182" s="4">
        <v>43</v>
      </c>
      <c r="B182" s="4">
        <v>1</v>
      </c>
      <c r="C182" s="4">
        <v>3</v>
      </c>
      <c r="D182" s="4">
        <v>130</v>
      </c>
      <c r="E182" s="4">
        <v>315</v>
      </c>
      <c r="F182" s="4">
        <v>0</v>
      </c>
      <c r="G182" s="4">
        <v>0</v>
      </c>
      <c r="H182" s="4">
        <v>162</v>
      </c>
      <c r="I182" s="4">
        <v>0</v>
      </c>
      <c r="J182" s="4">
        <v>1.9</v>
      </c>
      <c r="K182" s="4">
        <v>1</v>
      </c>
      <c r="L182" s="4">
        <v>1</v>
      </c>
      <c r="M182" s="4">
        <v>3</v>
      </c>
      <c r="N182" s="4">
        <v>0</v>
      </c>
      <c r="O182" s="4">
        <f t="shared" si="13"/>
        <v>-0.25033011980000008</v>
      </c>
      <c r="P182" s="4">
        <f t="shared" si="14"/>
        <v>0.43774224704852827</v>
      </c>
      <c r="Q182" s="4">
        <f t="shared" si="15"/>
        <v>0</v>
      </c>
      <c r="R182" s="4">
        <f t="shared" si="16"/>
        <v>0</v>
      </c>
      <c r="S182" s="4">
        <f t="shared" si="17"/>
        <v>0.56225775295147173</v>
      </c>
      <c r="T182" s="4">
        <f t="shared" si="18"/>
        <v>0.57579489908443027</v>
      </c>
    </row>
    <row r="183" spans="1:20" x14ac:dyDescent="0.25">
      <c r="A183" s="4">
        <v>53</v>
      </c>
      <c r="B183" s="4">
        <v>1</v>
      </c>
      <c r="C183" s="4">
        <v>3</v>
      </c>
      <c r="D183" s="4">
        <v>130</v>
      </c>
      <c r="E183" s="4">
        <v>246</v>
      </c>
      <c r="F183" s="4">
        <v>1</v>
      </c>
      <c r="G183" s="4">
        <v>2</v>
      </c>
      <c r="H183" s="4">
        <v>173</v>
      </c>
      <c r="I183" s="4">
        <v>0</v>
      </c>
      <c r="J183" s="4">
        <v>0</v>
      </c>
      <c r="K183" s="4">
        <v>1</v>
      </c>
      <c r="L183" s="4">
        <v>3</v>
      </c>
      <c r="M183" s="4">
        <v>3</v>
      </c>
      <c r="N183" s="4">
        <v>0</v>
      </c>
      <c r="O183" s="4">
        <f t="shared" si="13"/>
        <v>0.56985505300000128</v>
      </c>
      <c r="P183" s="4">
        <f t="shared" si="14"/>
        <v>0.63872972871237843</v>
      </c>
      <c r="Q183" s="4">
        <f t="shared" si="15"/>
        <v>1</v>
      </c>
      <c r="R183" s="4">
        <f t="shared" si="16"/>
        <v>1</v>
      </c>
      <c r="S183" s="4">
        <f t="shared" si="17"/>
        <v>0.36127027128762157</v>
      </c>
      <c r="T183" s="4">
        <f t="shared" si="18"/>
        <v>1.0181289268388491</v>
      </c>
    </row>
    <row r="184" spans="1:20" x14ac:dyDescent="0.25">
      <c r="A184" s="4">
        <v>48</v>
      </c>
      <c r="B184" s="4">
        <v>1</v>
      </c>
      <c r="C184" s="4">
        <v>4</v>
      </c>
      <c r="D184" s="4">
        <v>124</v>
      </c>
      <c r="E184" s="4">
        <v>274</v>
      </c>
      <c r="F184" s="4">
        <v>0</v>
      </c>
      <c r="G184" s="4">
        <v>2</v>
      </c>
      <c r="H184" s="4">
        <v>166</v>
      </c>
      <c r="I184" s="4">
        <v>0</v>
      </c>
      <c r="J184" s="4">
        <v>0.5</v>
      </c>
      <c r="K184" s="4">
        <v>2</v>
      </c>
      <c r="L184" s="4">
        <v>0</v>
      </c>
      <c r="M184" s="4">
        <v>7</v>
      </c>
      <c r="N184" s="4">
        <v>1</v>
      </c>
      <c r="O184" s="4">
        <f t="shared" si="13"/>
        <v>0.64507397700000269</v>
      </c>
      <c r="P184" s="4">
        <f t="shared" si="14"/>
        <v>0.65589953766410136</v>
      </c>
      <c r="Q184" s="4">
        <f t="shared" si="15"/>
        <v>1</v>
      </c>
      <c r="R184" s="4">
        <f t="shared" si="16"/>
        <v>0</v>
      </c>
      <c r="S184" s="4">
        <f t="shared" si="17"/>
        <v>0.65589953766410136</v>
      </c>
      <c r="T184" s="4">
        <f t="shared" si="18"/>
        <v>0.42174764557048139</v>
      </c>
    </row>
    <row r="185" spans="1:20" x14ac:dyDescent="0.25">
      <c r="A185" s="4">
        <v>56</v>
      </c>
      <c r="B185" s="4">
        <v>0</v>
      </c>
      <c r="C185" s="4">
        <v>4</v>
      </c>
      <c r="D185" s="4">
        <v>134</v>
      </c>
      <c r="E185" s="4">
        <v>409</v>
      </c>
      <c r="F185" s="4">
        <v>0</v>
      </c>
      <c r="G185" s="4">
        <v>2</v>
      </c>
      <c r="H185" s="4">
        <v>150</v>
      </c>
      <c r="I185" s="4">
        <v>1</v>
      </c>
      <c r="J185" s="4">
        <v>1.9</v>
      </c>
      <c r="K185" s="4">
        <v>2</v>
      </c>
      <c r="L185" s="4">
        <v>2</v>
      </c>
      <c r="M185" s="4">
        <v>7</v>
      </c>
      <c r="N185" s="4">
        <v>1</v>
      </c>
      <c r="O185" s="4">
        <f t="shared" si="13"/>
        <v>4.2730360962000002</v>
      </c>
      <c r="P185" s="4">
        <f t="shared" si="14"/>
        <v>0.98625223802806317</v>
      </c>
      <c r="Q185" s="4">
        <f t="shared" si="15"/>
        <v>1</v>
      </c>
      <c r="R185" s="4">
        <f t="shared" si="16"/>
        <v>0</v>
      </c>
      <c r="S185" s="4">
        <f t="shared" si="17"/>
        <v>0.98625223802806317</v>
      </c>
      <c r="T185" s="4">
        <f t="shared" si="18"/>
        <v>1.3843137594652425E-2</v>
      </c>
    </row>
    <row r="186" spans="1:20" x14ac:dyDescent="0.25">
      <c r="A186" s="4">
        <v>42</v>
      </c>
      <c r="B186" s="4">
        <v>1</v>
      </c>
      <c r="C186" s="4">
        <v>1</v>
      </c>
      <c r="D186" s="4">
        <v>148</v>
      </c>
      <c r="E186" s="4">
        <v>244</v>
      </c>
      <c r="F186" s="4">
        <v>0</v>
      </c>
      <c r="G186" s="4">
        <v>2</v>
      </c>
      <c r="H186" s="4">
        <v>178</v>
      </c>
      <c r="I186" s="4">
        <v>0</v>
      </c>
      <c r="J186" s="4">
        <v>0.8</v>
      </c>
      <c r="K186" s="4">
        <v>1</v>
      </c>
      <c r="L186" s="4">
        <v>2</v>
      </c>
      <c r="M186" s="4">
        <v>3</v>
      </c>
      <c r="N186" s="4">
        <v>0</v>
      </c>
      <c r="O186" s="4">
        <f t="shared" si="13"/>
        <v>-0.15459777559999921</v>
      </c>
      <c r="P186" s="4">
        <f t="shared" si="14"/>
        <v>0.4614273508920641</v>
      </c>
      <c r="Q186" s="4">
        <f t="shared" si="15"/>
        <v>0</v>
      </c>
      <c r="R186" s="4">
        <f t="shared" si="16"/>
        <v>0</v>
      </c>
      <c r="S186" s="4">
        <f t="shared" si="17"/>
        <v>0.5385726491079359</v>
      </c>
      <c r="T186" s="4">
        <f t="shared" si="18"/>
        <v>0.61883288134980496</v>
      </c>
    </row>
    <row r="187" spans="1:20" x14ac:dyDescent="0.25">
      <c r="A187" s="4">
        <v>59</v>
      </c>
      <c r="B187" s="4">
        <v>1</v>
      </c>
      <c r="C187" s="4">
        <v>1</v>
      </c>
      <c r="D187" s="4">
        <v>178</v>
      </c>
      <c r="E187" s="4">
        <v>270</v>
      </c>
      <c r="F187" s="4">
        <v>0</v>
      </c>
      <c r="G187" s="4">
        <v>2</v>
      </c>
      <c r="H187" s="4">
        <v>145</v>
      </c>
      <c r="I187" s="4">
        <v>0</v>
      </c>
      <c r="J187" s="4">
        <v>4.2</v>
      </c>
      <c r="K187" s="4">
        <v>3</v>
      </c>
      <c r="L187" s="4">
        <v>0</v>
      </c>
      <c r="M187" s="4">
        <v>7</v>
      </c>
      <c r="N187" s="4">
        <v>0</v>
      </c>
      <c r="O187" s="4">
        <f t="shared" si="13"/>
        <v>1.9592991525999999</v>
      </c>
      <c r="P187" s="4">
        <f t="shared" si="14"/>
        <v>0.87645708465384309</v>
      </c>
      <c r="Q187" s="4">
        <f t="shared" si="15"/>
        <v>1</v>
      </c>
      <c r="R187" s="4">
        <f t="shared" si="16"/>
        <v>1</v>
      </c>
      <c r="S187" s="4">
        <f t="shared" si="17"/>
        <v>0.12354291534615691</v>
      </c>
      <c r="T187" s="4">
        <f t="shared" si="18"/>
        <v>2.0911666905942714</v>
      </c>
    </row>
    <row r="188" spans="1:20" x14ac:dyDescent="0.25">
      <c r="A188" s="4">
        <v>60</v>
      </c>
      <c r="B188" s="4">
        <v>0</v>
      </c>
      <c r="C188" s="4">
        <v>4</v>
      </c>
      <c r="D188" s="4">
        <v>158</v>
      </c>
      <c r="E188" s="4">
        <v>305</v>
      </c>
      <c r="F188" s="4">
        <v>0</v>
      </c>
      <c r="G188" s="4">
        <v>2</v>
      </c>
      <c r="H188" s="4">
        <v>161</v>
      </c>
      <c r="I188" s="4">
        <v>0</v>
      </c>
      <c r="J188" s="4">
        <v>0</v>
      </c>
      <c r="K188" s="4">
        <v>1</v>
      </c>
      <c r="L188" s="4">
        <v>0</v>
      </c>
      <c r="M188" s="4">
        <v>3</v>
      </c>
      <c r="N188" s="4">
        <v>1</v>
      </c>
      <c r="O188" s="4">
        <f t="shared" si="13"/>
        <v>-1.8307444950000002</v>
      </c>
      <c r="P188" s="4">
        <f t="shared" si="14"/>
        <v>0.13814960651954281</v>
      </c>
      <c r="Q188" s="4">
        <f t="shared" si="15"/>
        <v>0</v>
      </c>
      <c r="R188" s="4">
        <f t="shared" si="16"/>
        <v>1</v>
      </c>
      <c r="S188" s="4">
        <f t="shared" si="17"/>
        <v>0.13814960651954281</v>
      </c>
      <c r="T188" s="4">
        <f t="shared" si="18"/>
        <v>1.9794180758285462</v>
      </c>
    </row>
    <row r="189" spans="1:20" x14ac:dyDescent="0.25">
      <c r="A189" s="4">
        <v>63</v>
      </c>
      <c r="B189" s="4">
        <v>0</v>
      </c>
      <c r="C189" s="4">
        <v>2</v>
      </c>
      <c r="D189" s="4">
        <v>140</v>
      </c>
      <c r="E189" s="4">
        <v>195</v>
      </c>
      <c r="F189" s="4">
        <v>0</v>
      </c>
      <c r="G189" s="4">
        <v>0</v>
      </c>
      <c r="H189" s="4">
        <v>179</v>
      </c>
      <c r="I189" s="4">
        <v>0</v>
      </c>
      <c r="J189" s="4">
        <v>0</v>
      </c>
      <c r="K189" s="4">
        <v>1</v>
      </c>
      <c r="L189" s="4">
        <v>2</v>
      </c>
      <c r="M189" s="4">
        <v>3</v>
      </c>
      <c r="N189" s="4">
        <v>0</v>
      </c>
      <c r="O189" s="4">
        <f t="shared" si="13"/>
        <v>-2.3341759329999991</v>
      </c>
      <c r="P189" s="4">
        <f t="shared" si="14"/>
        <v>8.8331799710976502E-2</v>
      </c>
      <c r="Q189" s="4">
        <f t="shared" si="15"/>
        <v>0</v>
      </c>
      <c r="R189" s="4">
        <f t="shared" si="16"/>
        <v>0</v>
      </c>
      <c r="S189" s="4">
        <f t="shared" si="17"/>
        <v>0.91166820028902351</v>
      </c>
      <c r="T189" s="4">
        <f t="shared" si="18"/>
        <v>9.2479170577272771E-2</v>
      </c>
    </row>
    <row r="190" spans="1:20" x14ac:dyDescent="0.25">
      <c r="A190" s="4">
        <v>42</v>
      </c>
      <c r="B190" s="4">
        <v>1</v>
      </c>
      <c r="C190" s="4">
        <v>3</v>
      </c>
      <c r="D190" s="4">
        <v>120</v>
      </c>
      <c r="E190" s="4">
        <v>240</v>
      </c>
      <c r="F190" s="4">
        <v>1</v>
      </c>
      <c r="G190" s="4">
        <v>0</v>
      </c>
      <c r="H190" s="4">
        <v>194</v>
      </c>
      <c r="I190" s="4">
        <v>0</v>
      </c>
      <c r="J190" s="4">
        <v>0.8</v>
      </c>
      <c r="K190" s="4">
        <v>3</v>
      </c>
      <c r="L190" s="4">
        <v>0</v>
      </c>
      <c r="M190" s="4">
        <v>7</v>
      </c>
      <c r="N190" s="4">
        <v>0</v>
      </c>
      <c r="O190" s="4">
        <f t="shared" si="13"/>
        <v>-1.5584838786000006</v>
      </c>
      <c r="P190" s="4">
        <f t="shared" si="14"/>
        <v>0.17386430822361307</v>
      </c>
      <c r="Q190" s="4">
        <f t="shared" si="15"/>
        <v>0</v>
      </c>
      <c r="R190" s="4">
        <f t="shared" si="16"/>
        <v>0</v>
      </c>
      <c r="S190" s="4">
        <f t="shared" si="17"/>
        <v>0.8261356917763869</v>
      </c>
      <c r="T190" s="4">
        <f t="shared" si="18"/>
        <v>0.19099624319460615</v>
      </c>
    </row>
    <row r="191" spans="1:20" x14ac:dyDescent="0.25">
      <c r="A191" s="4">
        <v>66</v>
      </c>
      <c r="B191" s="4">
        <v>1</v>
      </c>
      <c r="C191" s="4">
        <v>2</v>
      </c>
      <c r="D191" s="4">
        <v>160</v>
      </c>
      <c r="E191" s="4">
        <v>246</v>
      </c>
      <c r="F191" s="4">
        <v>0</v>
      </c>
      <c r="G191" s="4">
        <v>0</v>
      </c>
      <c r="H191" s="4">
        <v>120</v>
      </c>
      <c r="I191" s="4">
        <v>1</v>
      </c>
      <c r="J191" s="4">
        <v>0</v>
      </c>
      <c r="K191" s="4">
        <v>2</v>
      </c>
      <c r="L191" s="4">
        <v>3</v>
      </c>
      <c r="M191" s="4">
        <v>6</v>
      </c>
      <c r="N191" s="4">
        <v>1</v>
      </c>
      <c r="O191" s="4">
        <f t="shared" si="13"/>
        <v>4.6859807090000025</v>
      </c>
      <c r="P191" s="4">
        <f t="shared" si="14"/>
        <v>0.99086061438393114</v>
      </c>
      <c r="Q191" s="4">
        <f t="shared" si="15"/>
        <v>1</v>
      </c>
      <c r="R191" s="4">
        <f t="shared" si="16"/>
        <v>0</v>
      </c>
      <c r="S191" s="4">
        <f t="shared" si="17"/>
        <v>0.99086061438393114</v>
      </c>
      <c r="T191" s="4">
        <f t="shared" si="18"/>
        <v>9.181406023879294E-3</v>
      </c>
    </row>
    <row r="192" spans="1:20" x14ac:dyDescent="0.25">
      <c r="A192" s="4">
        <v>54</v>
      </c>
      <c r="B192" s="4">
        <v>1</v>
      </c>
      <c r="C192" s="4">
        <v>2</v>
      </c>
      <c r="D192" s="4">
        <v>192</v>
      </c>
      <c r="E192" s="4">
        <v>283</v>
      </c>
      <c r="F192" s="4">
        <v>0</v>
      </c>
      <c r="G192" s="4">
        <v>2</v>
      </c>
      <c r="H192" s="4">
        <v>195</v>
      </c>
      <c r="I192" s="4">
        <v>0</v>
      </c>
      <c r="J192" s="4">
        <v>0</v>
      </c>
      <c r="K192" s="4">
        <v>1</v>
      </c>
      <c r="L192" s="4">
        <v>1</v>
      </c>
      <c r="M192" s="4">
        <v>7</v>
      </c>
      <c r="N192" s="4">
        <v>1</v>
      </c>
      <c r="O192" s="4">
        <f t="shared" si="13"/>
        <v>1.0630132879999987</v>
      </c>
      <c r="P192" s="4">
        <f t="shared" si="14"/>
        <v>0.74326596731490557</v>
      </c>
      <c r="Q192" s="4">
        <f t="shared" si="15"/>
        <v>1</v>
      </c>
      <c r="R192" s="4">
        <f t="shared" si="16"/>
        <v>0</v>
      </c>
      <c r="S192" s="4">
        <f t="shared" si="17"/>
        <v>0.74326596731490557</v>
      </c>
      <c r="T192" s="4">
        <f t="shared" si="18"/>
        <v>0.29670133423357103</v>
      </c>
    </row>
    <row r="193" spans="1:20" x14ac:dyDescent="0.25">
      <c r="A193" s="4">
        <v>69</v>
      </c>
      <c r="B193" s="4">
        <v>1</v>
      </c>
      <c r="C193" s="4">
        <v>3</v>
      </c>
      <c r="D193" s="4">
        <v>140</v>
      </c>
      <c r="E193" s="4">
        <v>254</v>
      </c>
      <c r="F193" s="4">
        <v>0</v>
      </c>
      <c r="G193" s="4">
        <v>2</v>
      </c>
      <c r="H193" s="4">
        <v>146</v>
      </c>
      <c r="I193" s="4">
        <v>0</v>
      </c>
      <c r="J193" s="4">
        <v>2</v>
      </c>
      <c r="K193" s="4">
        <v>2</v>
      </c>
      <c r="L193" s="4">
        <v>3</v>
      </c>
      <c r="M193" s="4">
        <v>7</v>
      </c>
      <c r="N193" s="4">
        <v>1</v>
      </c>
      <c r="O193" s="4">
        <f t="shared" si="13"/>
        <v>4.6441200400000007</v>
      </c>
      <c r="P193" s="4">
        <f t="shared" si="14"/>
        <v>0.99047363509357589</v>
      </c>
      <c r="Q193" s="4">
        <f t="shared" si="15"/>
        <v>1</v>
      </c>
      <c r="R193" s="4">
        <f t="shared" si="16"/>
        <v>0</v>
      </c>
      <c r="S193" s="4">
        <f t="shared" si="17"/>
        <v>0.99047363509357589</v>
      </c>
      <c r="T193" s="4">
        <f t="shared" si="18"/>
        <v>9.5720309730800597E-3</v>
      </c>
    </row>
    <row r="194" spans="1:20" x14ac:dyDescent="0.25">
      <c r="A194" s="4">
        <v>50</v>
      </c>
      <c r="B194" s="4">
        <v>1</v>
      </c>
      <c r="C194" s="4">
        <v>3</v>
      </c>
      <c r="D194" s="4">
        <v>129</v>
      </c>
      <c r="E194" s="4">
        <v>196</v>
      </c>
      <c r="F194" s="4">
        <v>0</v>
      </c>
      <c r="G194" s="4">
        <v>0</v>
      </c>
      <c r="H194" s="4">
        <v>163</v>
      </c>
      <c r="I194" s="4">
        <v>0</v>
      </c>
      <c r="J194" s="4">
        <v>0</v>
      </c>
      <c r="K194" s="4">
        <v>1</v>
      </c>
      <c r="L194" s="4">
        <v>0</v>
      </c>
      <c r="M194" s="4">
        <v>3</v>
      </c>
      <c r="N194" s="4">
        <v>0</v>
      </c>
      <c r="O194" s="4">
        <f t="shared" si="13"/>
        <v>-2.726376930999999</v>
      </c>
      <c r="P194" s="4">
        <f t="shared" si="14"/>
        <v>6.1434739187452965E-2</v>
      </c>
      <c r="Q194" s="4">
        <f t="shared" si="15"/>
        <v>0</v>
      </c>
      <c r="R194" s="4">
        <f t="shared" si="16"/>
        <v>0</v>
      </c>
      <c r="S194" s="4">
        <f t="shared" si="17"/>
        <v>0.93856526081254699</v>
      </c>
      <c r="T194" s="4">
        <f t="shared" si="18"/>
        <v>6.3402888012984465E-2</v>
      </c>
    </row>
    <row r="195" spans="1:20" x14ac:dyDescent="0.25">
      <c r="A195" s="4">
        <v>51</v>
      </c>
      <c r="B195" s="4">
        <v>1</v>
      </c>
      <c r="C195" s="4">
        <v>4</v>
      </c>
      <c r="D195" s="4">
        <v>140</v>
      </c>
      <c r="E195" s="4">
        <v>298</v>
      </c>
      <c r="F195" s="4">
        <v>0</v>
      </c>
      <c r="G195" s="4">
        <v>0</v>
      </c>
      <c r="H195" s="4">
        <v>122</v>
      </c>
      <c r="I195" s="4">
        <v>1</v>
      </c>
      <c r="J195" s="4">
        <v>4.2</v>
      </c>
      <c r="K195" s="4">
        <v>2</v>
      </c>
      <c r="L195" s="4">
        <v>3</v>
      </c>
      <c r="M195" s="4">
        <v>7</v>
      </c>
      <c r="N195" s="4">
        <v>1</v>
      </c>
      <c r="O195" s="4">
        <f t="shared" si="13"/>
        <v>7.1707156576000006</v>
      </c>
      <c r="P195" s="4">
        <f t="shared" si="14"/>
        <v>0.9992318182004013</v>
      </c>
      <c r="Q195" s="4">
        <f t="shared" si="15"/>
        <v>1</v>
      </c>
      <c r="R195" s="4">
        <f t="shared" si="16"/>
        <v>0</v>
      </c>
      <c r="S195" s="4">
        <f t="shared" si="17"/>
        <v>0.9992318182004013</v>
      </c>
      <c r="T195" s="4">
        <f t="shared" si="18"/>
        <v>7.6847700242662503E-4</v>
      </c>
    </row>
    <row r="196" spans="1:20" x14ac:dyDescent="0.25">
      <c r="A196" s="4">
        <v>62</v>
      </c>
      <c r="B196" s="4">
        <v>0</v>
      </c>
      <c r="C196" s="4">
        <v>4</v>
      </c>
      <c r="D196" s="4">
        <v>138</v>
      </c>
      <c r="E196" s="4">
        <v>294</v>
      </c>
      <c r="F196" s="4">
        <v>1</v>
      </c>
      <c r="G196" s="4">
        <v>0</v>
      </c>
      <c r="H196" s="4">
        <v>106</v>
      </c>
      <c r="I196" s="4">
        <v>0</v>
      </c>
      <c r="J196" s="4">
        <v>1.9</v>
      </c>
      <c r="K196" s="4">
        <v>2</v>
      </c>
      <c r="L196" s="4">
        <v>3</v>
      </c>
      <c r="M196" s="4">
        <v>3</v>
      </c>
      <c r="N196" s="4">
        <v>1</v>
      </c>
      <c r="O196" s="4">
        <f t="shared" si="13"/>
        <v>2.072600072200002</v>
      </c>
      <c r="P196" s="4">
        <f t="shared" si="14"/>
        <v>0.88821138830336999</v>
      </c>
      <c r="Q196" s="4">
        <f t="shared" si="15"/>
        <v>1</v>
      </c>
      <c r="R196" s="4">
        <f t="shared" si="16"/>
        <v>0</v>
      </c>
      <c r="S196" s="4">
        <f t="shared" si="17"/>
        <v>0.88821138830336999</v>
      </c>
      <c r="T196" s="4">
        <f t="shared" si="18"/>
        <v>0.11854551442816413</v>
      </c>
    </row>
    <row r="197" spans="1:20" x14ac:dyDescent="0.25">
      <c r="A197" s="4">
        <v>68</v>
      </c>
      <c r="B197" s="4">
        <v>0</v>
      </c>
      <c r="C197" s="4">
        <v>3</v>
      </c>
      <c r="D197" s="4">
        <v>120</v>
      </c>
      <c r="E197" s="4">
        <v>211</v>
      </c>
      <c r="F197" s="4">
        <v>0</v>
      </c>
      <c r="G197" s="4">
        <v>2</v>
      </c>
      <c r="H197" s="4">
        <v>115</v>
      </c>
      <c r="I197" s="4">
        <v>0</v>
      </c>
      <c r="J197" s="4">
        <v>1.5</v>
      </c>
      <c r="K197" s="4">
        <v>2</v>
      </c>
      <c r="L197" s="4">
        <v>0</v>
      </c>
      <c r="M197" s="4">
        <v>3</v>
      </c>
      <c r="N197" s="4">
        <v>0</v>
      </c>
      <c r="O197" s="4">
        <f t="shared" si="13"/>
        <v>-2.0115578959999993</v>
      </c>
      <c r="P197" s="4">
        <f t="shared" si="14"/>
        <v>0.11799474796222521</v>
      </c>
      <c r="Q197" s="4">
        <f t="shared" si="15"/>
        <v>0</v>
      </c>
      <c r="R197" s="4">
        <f t="shared" si="16"/>
        <v>0</v>
      </c>
      <c r="S197" s="4">
        <f t="shared" si="17"/>
        <v>0.8820052520377748</v>
      </c>
      <c r="T197" s="4">
        <f t="shared" si="18"/>
        <v>0.1255572683017202</v>
      </c>
    </row>
    <row r="198" spans="1:20" x14ac:dyDescent="0.25">
      <c r="A198" s="4">
        <v>67</v>
      </c>
      <c r="B198" s="4">
        <v>1</v>
      </c>
      <c r="C198" s="4">
        <v>4</v>
      </c>
      <c r="D198" s="4">
        <v>100</v>
      </c>
      <c r="E198" s="4">
        <v>299</v>
      </c>
      <c r="F198" s="4">
        <v>0</v>
      </c>
      <c r="G198" s="4">
        <v>2</v>
      </c>
      <c r="H198" s="4">
        <v>125</v>
      </c>
      <c r="I198" s="4">
        <v>1</v>
      </c>
      <c r="J198" s="4">
        <v>0.9</v>
      </c>
      <c r="K198" s="4">
        <v>2</v>
      </c>
      <c r="L198" s="4">
        <v>2</v>
      </c>
      <c r="M198" s="4">
        <v>3</v>
      </c>
      <c r="N198" s="4">
        <v>1</v>
      </c>
      <c r="O198" s="4">
        <f t="shared" si="13"/>
        <v>2.9558363832000012</v>
      </c>
      <c r="P198" s="4">
        <f t="shared" si="14"/>
        <v>0.95053860842908688</v>
      </c>
      <c r="Q198" s="4">
        <f t="shared" si="15"/>
        <v>1</v>
      </c>
      <c r="R198" s="4">
        <f t="shared" si="16"/>
        <v>0</v>
      </c>
      <c r="S198" s="4">
        <f t="shared" si="17"/>
        <v>0.95053860842908688</v>
      </c>
      <c r="T198" s="4">
        <f t="shared" si="18"/>
        <v>5.0726498805374595E-2</v>
      </c>
    </row>
    <row r="199" spans="1:20" x14ac:dyDescent="0.25">
      <c r="A199" s="4">
        <v>69</v>
      </c>
      <c r="B199" s="4">
        <v>1</v>
      </c>
      <c r="C199" s="4">
        <v>1</v>
      </c>
      <c r="D199" s="4">
        <v>160</v>
      </c>
      <c r="E199" s="4">
        <v>234</v>
      </c>
      <c r="F199" s="4">
        <v>1</v>
      </c>
      <c r="G199" s="4">
        <v>2</v>
      </c>
      <c r="H199" s="4">
        <v>131</v>
      </c>
      <c r="I199" s="4">
        <v>0</v>
      </c>
      <c r="J199" s="4">
        <v>0.1</v>
      </c>
      <c r="K199" s="4">
        <v>2</v>
      </c>
      <c r="L199" s="4">
        <v>1</v>
      </c>
      <c r="M199" s="4">
        <v>3</v>
      </c>
      <c r="N199" s="4">
        <v>0</v>
      </c>
      <c r="O199" s="4">
        <f t="shared" ref="O199:O262" si="19">SUMPRODUCT(A$4:M$4, A199:M199)+N$4</f>
        <v>-1.2199291291999996</v>
      </c>
      <c r="P199" s="4">
        <f t="shared" ref="P199:P262" si="20">1/(1+EXP(0-O199))</f>
        <v>0.22794892275807191</v>
      </c>
      <c r="Q199" s="4">
        <f t="shared" ref="Q199:Q262" si="21">IF(P199&lt;=0.5, 0, 1)</f>
        <v>0</v>
      </c>
      <c r="R199" s="4">
        <f t="shared" ref="R199:R262" si="22">IF(N199=Q199, 0, 1)</f>
        <v>0</v>
      </c>
      <c r="S199" s="4">
        <f t="shared" ref="S199:S262" si="23">IF(N199=1, P199, 1-P199)</f>
        <v>0.77205107724192812</v>
      </c>
      <c r="T199" s="4">
        <f t="shared" ref="T199:T262" si="24">IF(S199=0, 1000000, -LN(S199))</f>
        <v>0.25870456891550786</v>
      </c>
    </row>
    <row r="200" spans="1:20" x14ac:dyDescent="0.25">
      <c r="A200" s="4">
        <v>45</v>
      </c>
      <c r="B200" s="4">
        <v>0</v>
      </c>
      <c r="C200" s="4">
        <v>4</v>
      </c>
      <c r="D200" s="4">
        <v>138</v>
      </c>
      <c r="E200" s="4">
        <v>236</v>
      </c>
      <c r="F200" s="4">
        <v>0</v>
      </c>
      <c r="G200" s="4">
        <v>2</v>
      </c>
      <c r="H200" s="4">
        <v>152</v>
      </c>
      <c r="I200" s="4">
        <v>1</v>
      </c>
      <c r="J200" s="4">
        <v>0.2</v>
      </c>
      <c r="K200" s="4">
        <v>2</v>
      </c>
      <c r="L200" s="4">
        <v>0</v>
      </c>
      <c r="M200" s="4">
        <v>3</v>
      </c>
      <c r="N200" s="4">
        <v>0</v>
      </c>
      <c r="O200" s="4">
        <f t="shared" si="19"/>
        <v>-0.71231456539999982</v>
      </c>
      <c r="P200" s="4">
        <f t="shared" si="20"/>
        <v>0.32908760770797058</v>
      </c>
      <c r="Q200" s="4">
        <f t="shared" si="21"/>
        <v>0</v>
      </c>
      <c r="R200" s="4">
        <f t="shared" si="22"/>
        <v>0</v>
      </c>
      <c r="S200" s="4">
        <f t="shared" si="23"/>
        <v>0.67091239229202948</v>
      </c>
      <c r="T200" s="4">
        <f t="shared" si="24"/>
        <v>0.39911671343761879</v>
      </c>
    </row>
    <row r="201" spans="1:20" x14ac:dyDescent="0.25">
      <c r="A201" s="4">
        <v>50</v>
      </c>
      <c r="B201" s="4">
        <v>0</v>
      </c>
      <c r="C201" s="4">
        <v>2</v>
      </c>
      <c r="D201" s="4">
        <v>120</v>
      </c>
      <c r="E201" s="4">
        <v>244</v>
      </c>
      <c r="F201" s="4">
        <v>0</v>
      </c>
      <c r="G201" s="4">
        <v>0</v>
      </c>
      <c r="H201" s="4">
        <v>162</v>
      </c>
      <c r="I201" s="4">
        <v>0</v>
      </c>
      <c r="J201" s="4">
        <v>1.1000000000000001</v>
      </c>
      <c r="K201" s="4">
        <v>1</v>
      </c>
      <c r="L201" s="4">
        <v>0</v>
      </c>
      <c r="M201" s="4">
        <v>3</v>
      </c>
      <c r="N201" s="4">
        <v>0</v>
      </c>
      <c r="O201" s="4">
        <f t="shared" si="19"/>
        <v>-4.2982404411999999</v>
      </c>
      <c r="P201" s="4">
        <f t="shared" si="20"/>
        <v>1.3410177476435402E-2</v>
      </c>
      <c r="Q201" s="4">
        <f t="shared" si="21"/>
        <v>0</v>
      </c>
      <c r="R201" s="4">
        <f t="shared" si="22"/>
        <v>0</v>
      </c>
      <c r="S201" s="4">
        <f t="shared" si="23"/>
        <v>0.98658982252356464</v>
      </c>
      <c r="T201" s="4">
        <f t="shared" si="24"/>
        <v>1.3500905942614373E-2</v>
      </c>
    </row>
    <row r="202" spans="1:20" x14ac:dyDescent="0.25">
      <c r="A202" s="4">
        <v>59</v>
      </c>
      <c r="B202" s="4">
        <v>1</v>
      </c>
      <c r="C202" s="4">
        <v>1</v>
      </c>
      <c r="D202" s="4">
        <v>160</v>
      </c>
      <c r="E202" s="4">
        <v>273</v>
      </c>
      <c r="F202" s="4">
        <v>0</v>
      </c>
      <c r="G202" s="4">
        <v>2</v>
      </c>
      <c r="H202" s="4">
        <v>125</v>
      </c>
      <c r="I202" s="4">
        <v>0</v>
      </c>
      <c r="J202" s="4">
        <v>0</v>
      </c>
      <c r="K202" s="4">
        <v>1</v>
      </c>
      <c r="L202" s="4">
        <v>0</v>
      </c>
      <c r="M202" s="4">
        <v>3</v>
      </c>
      <c r="N202" s="4">
        <v>1</v>
      </c>
      <c r="O202" s="4">
        <f t="shared" si="19"/>
        <v>-1.6000809289999998</v>
      </c>
      <c r="P202" s="4">
        <f t="shared" si="20"/>
        <v>0.16797030422608034</v>
      </c>
      <c r="Q202" s="4">
        <f t="shared" si="21"/>
        <v>0</v>
      </c>
      <c r="R202" s="4">
        <f t="shared" si="22"/>
        <v>1</v>
      </c>
      <c r="S202" s="4">
        <f t="shared" si="23"/>
        <v>0.16797030422608034</v>
      </c>
      <c r="T202" s="4">
        <f t="shared" si="24"/>
        <v>1.7839680757619125</v>
      </c>
    </row>
    <row r="203" spans="1:20" x14ac:dyDescent="0.25">
      <c r="A203" s="4">
        <v>50</v>
      </c>
      <c r="B203" s="4">
        <v>0</v>
      </c>
      <c r="C203" s="4">
        <v>4</v>
      </c>
      <c r="D203" s="4">
        <v>110</v>
      </c>
      <c r="E203" s="4">
        <v>254</v>
      </c>
      <c r="F203" s="4">
        <v>0</v>
      </c>
      <c r="G203" s="4">
        <v>2</v>
      </c>
      <c r="H203" s="4">
        <v>159</v>
      </c>
      <c r="I203" s="4">
        <v>0</v>
      </c>
      <c r="J203" s="4">
        <v>0</v>
      </c>
      <c r="K203" s="4">
        <v>1</v>
      </c>
      <c r="L203" s="4">
        <v>0</v>
      </c>
      <c r="M203" s="4">
        <v>3</v>
      </c>
      <c r="N203" s="4">
        <v>0</v>
      </c>
      <c r="O203" s="4">
        <f t="shared" si="19"/>
        <v>-3.0567273509999993</v>
      </c>
      <c r="P203" s="4">
        <f t="shared" si="20"/>
        <v>4.4927921514587708E-2</v>
      </c>
      <c r="Q203" s="4">
        <f t="shared" si="21"/>
        <v>0</v>
      </c>
      <c r="R203" s="4">
        <f t="shared" si="22"/>
        <v>0</v>
      </c>
      <c r="S203" s="4">
        <f t="shared" si="23"/>
        <v>0.95507207848541231</v>
      </c>
      <c r="T203" s="4">
        <f t="shared" si="24"/>
        <v>4.5968466495655398E-2</v>
      </c>
    </row>
    <row r="204" spans="1:20" x14ac:dyDescent="0.25">
      <c r="A204" s="4">
        <v>64</v>
      </c>
      <c r="B204" s="4">
        <v>0</v>
      </c>
      <c r="C204" s="4">
        <v>4</v>
      </c>
      <c r="D204" s="4">
        <v>180</v>
      </c>
      <c r="E204" s="4">
        <v>325</v>
      </c>
      <c r="F204" s="4">
        <v>0</v>
      </c>
      <c r="G204" s="4">
        <v>0</v>
      </c>
      <c r="H204" s="4">
        <v>154</v>
      </c>
      <c r="I204" s="4">
        <v>1</v>
      </c>
      <c r="J204" s="4">
        <v>0</v>
      </c>
      <c r="K204" s="4">
        <v>1</v>
      </c>
      <c r="L204" s="4">
        <v>0</v>
      </c>
      <c r="M204" s="4">
        <v>3</v>
      </c>
      <c r="N204" s="4">
        <v>0</v>
      </c>
      <c r="O204" s="4">
        <f t="shared" si="19"/>
        <v>-0.67803300399999955</v>
      </c>
      <c r="P204" s="4">
        <f t="shared" si="20"/>
        <v>0.33670045702109669</v>
      </c>
      <c r="Q204" s="4">
        <f t="shared" si="21"/>
        <v>0</v>
      </c>
      <c r="R204" s="4">
        <f t="shared" si="22"/>
        <v>0</v>
      </c>
      <c r="S204" s="4">
        <f t="shared" si="23"/>
        <v>0.66329954297890326</v>
      </c>
      <c r="T204" s="4">
        <f t="shared" si="24"/>
        <v>0.41052859146201554</v>
      </c>
    </row>
    <row r="205" spans="1:20" x14ac:dyDescent="0.25">
      <c r="A205" s="4">
        <v>57</v>
      </c>
      <c r="B205" s="4">
        <v>1</v>
      </c>
      <c r="C205" s="4">
        <v>3</v>
      </c>
      <c r="D205" s="4">
        <v>150</v>
      </c>
      <c r="E205" s="4">
        <v>126</v>
      </c>
      <c r="F205" s="4">
        <v>1</v>
      </c>
      <c r="G205" s="4">
        <v>0</v>
      </c>
      <c r="H205" s="4">
        <v>173</v>
      </c>
      <c r="I205" s="4">
        <v>0</v>
      </c>
      <c r="J205" s="4">
        <v>0.2</v>
      </c>
      <c r="K205" s="4">
        <v>1</v>
      </c>
      <c r="L205" s="4">
        <v>1</v>
      </c>
      <c r="M205" s="4">
        <v>7</v>
      </c>
      <c r="N205" s="4">
        <v>0</v>
      </c>
      <c r="O205" s="4">
        <f t="shared" si="19"/>
        <v>-1.2058768133999989</v>
      </c>
      <c r="P205" s="4">
        <f t="shared" si="20"/>
        <v>0.23043141426558794</v>
      </c>
      <c r="Q205" s="4">
        <f t="shared" si="21"/>
        <v>0</v>
      </c>
      <c r="R205" s="4">
        <f t="shared" si="22"/>
        <v>0</v>
      </c>
      <c r="S205" s="4">
        <f t="shared" si="23"/>
        <v>0.76956858573441211</v>
      </c>
      <c r="T205" s="4">
        <f t="shared" si="24"/>
        <v>0.26192519941592363</v>
      </c>
    </row>
    <row r="206" spans="1:20" x14ac:dyDescent="0.25">
      <c r="A206" s="4">
        <v>64</v>
      </c>
      <c r="B206" s="4">
        <v>0</v>
      </c>
      <c r="C206" s="4">
        <v>3</v>
      </c>
      <c r="D206" s="4">
        <v>140</v>
      </c>
      <c r="E206" s="4">
        <v>313</v>
      </c>
      <c r="F206" s="4">
        <v>0</v>
      </c>
      <c r="G206" s="4">
        <v>0</v>
      </c>
      <c r="H206" s="4">
        <v>133</v>
      </c>
      <c r="I206" s="4">
        <v>0</v>
      </c>
      <c r="J206" s="4">
        <v>0.2</v>
      </c>
      <c r="K206" s="4">
        <v>1</v>
      </c>
      <c r="L206" s="4">
        <v>0</v>
      </c>
      <c r="M206" s="4">
        <v>7</v>
      </c>
      <c r="N206" s="4">
        <v>0</v>
      </c>
      <c r="O206" s="4">
        <f t="shared" si="19"/>
        <v>-1.3426337673999988</v>
      </c>
      <c r="P206" s="4">
        <f t="shared" si="20"/>
        <v>0.20707727012320784</v>
      </c>
      <c r="Q206" s="4">
        <f t="shared" si="21"/>
        <v>0</v>
      </c>
      <c r="R206" s="4">
        <f t="shared" si="22"/>
        <v>0</v>
      </c>
      <c r="S206" s="4">
        <f t="shared" si="23"/>
        <v>0.79292272987679213</v>
      </c>
      <c r="T206" s="4">
        <f t="shared" si="24"/>
        <v>0.23202950235115127</v>
      </c>
    </row>
    <row r="207" spans="1:20" x14ac:dyDescent="0.25">
      <c r="A207" s="4">
        <v>43</v>
      </c>
      <c r="B207" s="4">
        <v>1</v>
      </c>
      <c r="C207" s="4">
        <v>4</v>
      </c>
      <c r="D207" s="4">
        <v>110</v>
      </c>
      <c r="E207" s="4">
        <v>211</v>
      </c>
      <c r="F207" s="4">
        <v>0</v>
      </c>
      <c r="G207" s="4">
        <v>0</v>
      </c>
      <c r="H207" s="4">
        <v>161</v>
      </c>
      <c r="I207" s="4">
        <v>0</v>
      </c>
      <c r="J207" s="4">
        <v>0</v>
      </c>
      <c r="K207" s="4">
        <v>1</v>
      </c>
      <c r="L207" s="4">
        <v>0</v>
      </c>
      <c r="M207" s="4">
        <v>7</v>
      </c>
      <c r="N207" s="4">
        <v>0</v>
      </c>
      <c r="O207" s="4">
        <f t="shared" si="19"/>
        <v>-1.0161820749999997</v>
      </c>
      <c r="P207" s="4">
        <f t="shared" si="20"/>
        <v>0.26577175290079746</v>
      </c>
      <c r="Q207" s="4">
        <f t="shared" si="21"/>
        <v>0</v>
      </c>
      <c r="R207" s="4">
        <f t="shared" si="22"/>
        <v>0</v>
      </c>
      <c r="S207" s="4">
        <f t="shared" si="23"/>
        <v>0.73422824709920254</v>
      </c>
      <c r="T207" s="4">
        <f t="shared" si="24"/>
        <v>0.30893533535629109</v>
      </c>
    </row>
    <row r="208" spans="1:20" x14ac:dyDescent="0.25">
      <c r="A208" s="4">
        <v>45</v>
      </c>
      <c r="B208" s="4">
        <v>1</v>
      </c>
      <c r="C208" s="4">
        <v>4</v>
      </c>
      <c r="D208" s="4">
        <v>142</v>
      </c>
      <c r="E208" s="4">
        <v>309</v>
      </c>
      <c r="F208" s="4">
        <v>0</v>
      </c>
      <c r="G208" s="4">
        <v>2</v>
      </c>
      <c r="H208" s="4">
        <v>147</v>
      </c>
      <c r="I208" s="4">
        <v>1</v>
      </c>
      <c r="J208" s="4">
        <v>0</v>
      </c>
      <c r="K208" s="4">
        <v>2</v>
      </c>
      <c r="L208" s="4">
        <v>3</v>
      </c>
      <c r="M208" s="4">
        <v>7</v>
      </c>
      <c r="N208" s="4">
        <v>1</v>
      </c>
      <c r="O208" s="4">
        <f t="shared" si="19"/>
        <v>6.2934046190000004</v>
      </c>
      <c r="P208" s="4">
        <f t="shared" si="20"/>
        <v>0.99815495455183467</v>
      </c>
      <c r="Q208" s="4">
        <f t="shared" si="21"/>
        <v>1</v>
      </c>
      <c r="R208" s="4">
        <f t="shared" si="22"/>
        <v>0</v>
      </c>
      <c r="S208" s="4">
        <f t="shared" si="23"/>
        <v>0.99815495455183467</v>
      </c>
      <c r="T208" s="4">
        <f t="shared" si="24"/>
        <v>1.8467496410497258E-3</v>
      </c>
    </row>
    <row r="209" spans="1:20" x14ac:dyDescent="0.25">
      <c r="A209" s="4">
        <v>58</v>
      </c>
      <c r="B209" s="4">
        <v>1</v>
      </c>
      <c r="C209" s="4">
        <v>4</v>
      </c>
      <c r="D209" s="4">
        <v>128</v>
      </c>
      <c r="E209" s="4">
        <v>259</v>
      </c>
      <c r="F209" s="4">
        <v>0</v>
      </c>
      <c r="G209" s="4">
        <v>2</v>
      </c>
      <c r="H209" s="4">
        <v>130</v>
      </c>
      <c r="I209" s="4">
        <v>1</v>
      </c>
      <c r="J209" s="4">
        <v>3</v>
      </c>
      <c r="K209" s="4">
        <v>2</v>
      </c>
      <c r="L209" s="4">
        <v>2</v>
      </c>
      <c r="M209" s="4">
        <v>7</v>
      </c>
      <c r="N209" s="4">
        <v>1</v>
      </c>
      <c r="O209" s="4">
        <f t="shared" si="19"/>
        <v>5.3486441970000005</v>
      </c>
      <c r="P209" s="4">
        <f t="shared" si="20"/>
        <v>0.99526790625663841</v>
      </c>
      <c r="Q209" s="4">
        <f t="shared" si="21"/>
        <v>1</v>
      </c>
      <c r="R209" s="4">
        <f t="shared" si="22"/>
        <v>0</v>
      </c>
      <c r="S209" s="4">
        <f t="shared" si="23"/>
        <v>0.99526790625663841</v>
      </c>
      <c r="T209" s="4">
        <f t="shared" si="24"/>
        <v>4.7433255462639079E-3</v>
      </c>
    </row>
    <row r="210" spans="1:20" x14ac:dyDescent="0.25">
      <c r="A210" s="4">
        <v>50</v>
      </c>
      <c r="B210" s="4">
        <v>1</v>
      </c>
      <c r="C210" s="4">
        <v>4</v>
      </c>
      <c r="D210" s="4">
        <v>144</v>
      </c>
      <c r="E210" s="4">
        <v>200</v>
      </c>
      <c r="F210" s="4">
        <v>0</v>
      </c>
      <c r="G210" s="4">
        <v>2</v>
      </c>
      <c r="H210" s="4">
        <v>126</v>
      </c>
      <c r="I210" s="4">
        <v>1</v>
      </c>
      <c r="J210" s="4">
        <v>0.9</v>
      </c>
      <c r="K210" s="4">
        <v>2</v>
      </c>
      <c r="L210" s="4">
        <v>0</v>
      </c>
      <c r="M210" s="4">
        <v>7</v>
      </c>
      <c r="N210" s="4">
        <v>1</v>
      </c>
      <c r="O210" s="4">
        <f t="shared" si="19"/>
        <v>2.5796089302000009</v>
      </c>
      <c r="P210" s="4">
        <f t="shared" si="20"/>
        <v>0.92953765935461108</v>
      </c>
      <c r="Q210" s="4">
        <f t="shared" si="21"/>
        <v>1</v>
      </c>
      <c r="R210" s="4">
        <f t="shared" si="22"/>
        <v>0</v>
      </c>
      <c r="S210" s="4">
        <f t="shared" si="23"/>
        <v>0.92953765935461108</v>
      </c>
      <c r="T210" s="4">
        <f t="shared" si="24"/>
        <v>7.3067956929047273E-2</v>
      </c>
    </row>
    <row r="211" spans="1:20" x14ac:dyDescent="0.25">
      <c r="A211" s="4">
        <v>55</v>
      </c>
      <c r="B211" s="4">
        <v>1</v>
      </c>
      <c r="C211" s="4">
        <v>2</v>
      </c>
      <c r="D211" s="4">
        <v>130</v>
      </c>
      <c r="E211" s="4">
        <v>262</v>
      </c>
      <c r="F211" s="4">
        <v>0</v>
      </c>
      <c r="G211" s="4">
        <v>0</v>
      </c>
      <c r="H211" s="4">
        <v>155</v>
      </c>
      <c r="I211" s="4">
        <v>0</v>
      </c>
      <c r="J211" s="4">
        <v>0</v>
      </c>
      <c r="K211" s="4">
        <v>1</v>
      </c>
      <c r="L211" s="4">
        <v>0</v>
      </c>
      <c r="M211" s="4">
        <v>3</v>
      </c>
      <c r="N211" s="4">
        <v>0</v>
      </c>
      <c r="O211" s="4">
        <f t="shared" si="19"/>
        <v>-2.8540358870000002</v>
      </c>
      <c r="P211" s="4">
        <f t="shared" si="20"/>
        <v>5.4473071641501933E-2</v>
      </c>
      <c r="Q211" s="4">
        <f t="shared" si="21"/>
        <v>0</v>
      </c>
      <c r="R211" s="4">
        <f t="shared" si="22"/>
        <v>0</v>
      </c>
      <c r="S211" s="4">
        <f t="shared" si="23"/>
        <v>0.94552692835849805</v>
      </c>
      <c r="T211" s="4">
        <f t="shared" si="24"/>
        <v>5.6012910740802946E-2</v>
      </c>
    </row>
    <row r="212" spans="1:20" x14ac:dyDescent="0.25">
      <c r="A212" s="4">
        <v>62</v>
      </c>
      <c r="B212" s="4">
        <v>0</v>
      </c>
      <c r="C212" s="4">
        <v>4</v>
      </c>
      <c r="D212" s="4">
        <v>150</v>
      </c>
      <c r="E212" s="4">
        <v>244</v>
      </c>
      <c r="F212" s="4">
        <v>0</v>
      </c>
      <c r="G212" s="4">
        <v>0</v>
      </c>
      <c r="H212" s="4">
        <v>154</v>
      </c>
      <c r="I212" s="4">
        <v>1</v>
      </c>
      <c r="J212" s="4">
        <v>1.4</v>
      </c>
      <c r="K212" s="4">
        <v>2</v>
      </c>
      <c r="L212" s="4">
        <v>0</v>
      </c>
      <c r="M212" s="4">
        <v>3</v>
      </c>
      <c r="N212" s="4">
        <v>1</v>
      </c>
      <c r="O212" s="4">
        <f t="shared" si="19"/>
        <v>-0.85930831579999989</v>
      </c>
      <c r="P212" s="4">
        <f t="shared" si="20"/>
        <v>0.29748387856220276</v>
      </c>
      <c r="Q212" s="4">
        <f t="shared" si="21"/>
        <v>0</v>
      </c>
      <c r="R212" s="4">
        <f t="shared" si="22"/>
        <v>1</v>
      </c>
      <c r="S212" s="4">
        <f t="shared" si="23"/>
        <v>0.29748387856220276</v>
      </c>
      <c r="T212" s="4">
        <f t="shared" si="24"/>
        <v>1.2123952451716493</v>
      </c>
    </row>
    <row r="213" spans="1:20" x14ac:dyDescent="0.25">
      <c r="A213" s="4">
        <v>37</v>
      </c>
      <c r="B213" s="4">
        <v>0</v>
      </c>
      <c r="C213" s="4">
        <v>3</v>
      </c>
      <c r="D213" s="4">
        <v>120</v>
      </c>
      <c r="E213" s="4">
        <v>215</v>
      </c>
      <c r="F213" s="4">
        <v>0</v>
      </c>
      <c r="G213" s="4">
        <v>0</v>
      </c>
      <c r="H213" s="4">
        <v>170</v>
      </c>
      <c r="I213" s="4">
        <v>0</v>
      </c>
      <c r="J213" s="4">
        <v>0</v>
      </c>
      <c r="K213" s="4">
        <v>1</v>
      </c>
      <c r="L213" s="4">
        <v>0</v>
      </c>
      <c r="M213" s="4">
        <v>3</v>
      </c>
      <c r="N213" s="4">
        <v>0</v>
      </c>
      <c r="O213" s="4">
        <f t="shared" si="19"/>
        <v>-4.12054645</v>
      </c>
      <c r="P213" s="4">
        <f t="shared" si="20"/>
        <v>1.5976255321186131E-2</v>
      </c>
      <c r="Q213" s="4">
        <f t="shared" si="21"/>
        <v>0</v>
      </c>
      <c r="R213" s="4">
        <f t="shared" si="22"/>
        <v>0</v>
      </c>
      <c r="S213" s="4">
        <f t="shared" si="23"/>
        <v>0.98402374467881382</v>
      </c>
      <c r="T213" s="4">
        <f t="shared" si="24"/>
        <v>1.610525144987375E-2</v>
      </c>
    </row>
    <row r="214" spans="1:20" x14ac:dyDescent="0.25">
      <c r="A214" s="4">
        <v>38</v>
      </c>
      <c r="B214" s="4">
        <v>1</v>
      </c>
      <c r="C214" s="4">
        <v>1</v>
      </c>
      <c r="D214" s="4">
        <v>120</v>
      </c>
      <c r="E214" s="4">
        <v>231</v>
      </c>
      <c r="F214" s="4">
        <v>0</v>
      </c>
      <c r="G214" s="4">
        <v>0</v>
      </c>
      <c r="H214" s="4">
        <v>182</v>
      </c>
      <c r="I214" s="4">
        <v>1</v>
      </c>
      <c r="J214" s="4">
        <v>3.8</v>
      </c>
      <c r="K214" s="4">
        <v>2</v>
      </c>
      <c r="L214" s="4">
        <v>0</v>
      </c>
      <c r="M214" s="4">
        <v>7</v>
      </c>
      <c r="N214" s="4">
        <v>1</v>
      </c>
      <c r="O214" s="4">
        <f t="shared" si="19"/>
        <v>-0.33049382859999987</v>
      </c>
      <c r="P214" s="4">
        <f t="shared" si="20"/>
        <v>0.41812047190626339</v>
      </c>
      <c r="Q214" s="4">
        <f t="shared" si="21"/>
        <v>0</v>
      </c>
      <c r="R214" s="4">
        <f t="shared" si="22"/>
        <v>1</v>
      </c>
      <c r="S214" s="4">
        <f t="shared" si="23"/>
        <v>0.41812047190626339</v>
      </c>
      <c r="T214" s="4">
        <f t="shared" si="24"/>
        <v>0.87198567767992596</v>
      </c>
    </row>
    <row r="215" spans="1:20" x14ac:dyDescent="0.25">
      <c r="A215" s="4">
        <v>41</v>
      </c>
      <c r="B215" s="4">
        <v>1</v>
      </c>
      <c r="C215" s="4">
        <v>3</v>
      </c>
      <c r="D215" s="4">
        <v>130</v>
      </c>
      <c r="E215" s="4">
        <v>214</v>
      </c>
      <c r="F215" s="4">
        <v>0</v>
      </c>
      <c r="G215" s="4">
        <v>2</v>
      </c>
      <c r="H215" s="4">
        <v>168</v>
      </c>
      <c r="I215" s="4">
        <v>0</v>
      </c>
      <c r="J215" s="4">
        <v>2</v>
      </c>
      <c r="K215" s="4">
        <v>2</v>
      </c>
      <c r="L215" s="4">
        <v>0</v>
      </c>
      <c r="M215" s="4">
        <v>3</v>
      </c>
      <c r="N215" s="4">
        <v>0</v>
      </c>
      <c r="O215" s="4">
        <f t="shared" si="19"/>
        <v>-1.0331772309999989</v>
      </c>
      <c r="P215" s="4">
        <f t="shared" si="20"/>
        <v>0.26246859549923179</v>
      </c>
      <c r="Q215" s="4">
        <f t="shared" si="21"/>
        <v>0</v>
      </c>
      <c r="R215" s="4">
        <f t="shared" si="22"/>
        <v>0</v>
      </c>
      <c r="S215" s="4">
        <f t="shared" si="23"/>
        <v>0.73753140450076815</v>
      </c>
      <c r="T215" s="4">
        <f t="shared" si="24"/>
        <v>0.30444660930084277</v>
      </c>
    </row>
    <row r="216" spans="1:20" x14ac:dyDescent="0.25">
      <c r="A216" s="4">
        <v>66</v>
      </c>
      <c r="B216" s="4">
        <v>0</v>
      </c>
      <c r="C216" s="4">
        <v>4</v>
      </c>
      <c r="D216" s="4">
        <v>178</v>
      </c>
      <c r="E216" s="4">
        <v>228</v>
      </c>
      <c r="F216" s="4">
        <v>1</v>
      </c>
      <c r="G216" s="4">
        <v>0</v>
      </c>
      <c r="H216" s="4">
        <v>165</v>
      </c>
      <c r="I216" s="4">
        <v>1</v>
      </c>
      <c r="J216" s="4">
        <v>1</v>
      </c>
      <c r="K216" s="4">
        <v>2</v>
      </c>
      <c r="L216" s="4">
        <v>2</v>
      </c>
      <c r="M216" s="4">
        <v>7</v>
      </c>
      <c r="N216" s="4">
        <v>1</v>
      </c>
      <c r="O216" s="4">
        <f t="shared" si="19"/>
        <v>2.240367547</v>
      </c>
      <c r="P216" s="4">
        <f t="shared" si="20"/>
        <v>0.90381641473921159</v>
      </c>
      <c r="Q216" s="4">
        <f t="shared" si="21"/>
        <v>1</v>
      </c>
      <c r="R216" s="4">
        <f t="shared" si="22"/>
        <v>0</v>
      </c>
      <c r="S216" s="4">
        <f t="shared" si="23"/>
        <v>0.90381641473921159</v>
      </c>
      <c r="T216" s="4">
        <f t="shared" si="24"/>
        <v>0.10112902025440249</v>
      </c>
    </row>
    <row r="217" spans="1:20" x14ac:dyDescent="0.25">
      <c r="A217" s="4">
        <v>52</v>
      </c>
      <c r="B217" s="4">
        <v>1</v>
      </c>
      <c r="C217" s="4">
        <v>4</v>
      </c>
      <c r="D217" s="4">
        <v>112</v>
      </c>
      <c r="E217" s="4">
        <v>230</v>
      </c>
      <c r="F217" s="4">
        <v>0</v>
      </c>
      <c r="G217" s="4">
        <v>0</v>
      </c>
      <c r="H217" s="4">
        <v>160</v>
      </c>
      <c r="I217" s="4">
        <v>0</v>
      </c>
      <c r="J217" s="4">
        <v>0</v>
      </c>
      <c r="K217" s="4">
        <v>1</v>
      </c>
      <c r="L217" s="4">
        <v>1</v>
      </c>
      <c r="M217" s="4">
        <v>3</v>
      </c>
      <c r="N217" s="4">
        <v>1</v>
      </c>
      <c r="O217" s="4">
        <f t="shared" si="19"/>
        <v>-1.0879802689999991</v>
      </c>
      <c r="P217" s="4">
        <f t="shared" si="20"/>
        <v>0.25199879767320194</v>
      </c>
      <c r="Q217" s="4">
        <f t="shared" si="21"/>
        <v>0</v>
      </c>
      <c r="R217" s="4">
        <f t="shared" si="22"/>
        <v>1</v>
      </c>
      <c r="S217" s="4">
        <f t="shared" si="23"/>
        <v>0.25199879767320194</v>
      </c>
      <c r="T217" s="4">
        <f t="shared" si="24"/>
        <v>1.3783309626201832</v>
      </c>
    </row>
    <row r="218" spans="1:20" x14ac:dyDescent="0.25">
      <c r="A218" s="4">
        <v>56</v>
      </c>
      <c r="B218" s="4">
        <v>1</v>
      </c>
      <c r="C218" s="4">
        <v>1</v>
      </c>
      <c r="D218" s="4">
        <v>120</v>
      </c>
      <c r="E218" s="4">
        <v>193</v>
      </c>
      <c r="F218" s="4">
        <v>0</v>
      </c>
      <c r="G218" s="4">
        <v>2</v>
      </c>
      <c r="H218" s="4">
        <v>162</v>
      </c>
      <c r="I218" s="4">
        <v>0</v>
      </c>
      <c r="J218" s="4">
        <v>1.9</v>
      </c>
      <c r="K218" s="4">
        <v>2</v>
      </c>
      <c r="L218" s="4">
        <v>0</v>
      </c>
      <c r="M218" s="4">
        <v>7</v>
      </c>
      <c r="N218" s="4">
        <v>0</v>
      </c>
      <c r="O218" s="4">
        <f t="shared" si="19"/>
        <v>-1.2677730658000002</v>
      </c>
      <c r="P218" s="4">
        <f t="shared" si="20"/>
        <v>0.21963870482458153</v>
      </c>
      <c r="Q218" s="4">
        <f t="shared" si="21"/>
        <v>0</v>
      </c>
      <c r="R218" s="4">
        <f t="shared" si="22"/>
        <v>0</v>
      </c>
      <c r="S218" s="4">
        <f t="shared" si="23"/>
        <v>0.78036129517541841</v>
      </c>
      <c r="T218" s="4">
        <f t="shared" si="24"/>
        <v>0.2479982675991704</v>
      </c>
    </row>
    <row r="219" spans="1:20" x14ac:dyDescent="0.25">
      <c r="A219" s="4">
        <v>46</v>
      </c>
      <c r="B219" s="4">
        <v>0</v>
      </c>
      <c r="C219" s="4">
        <v>2</v>
      </c>
      <c r="D219" s="4">
        <v>105</v>
      </c>
      <c r="E219" s="4">
        <v>204</v>
      </c>
      <c r="F219" s="4">
        <v>0</v>
      </c>
      <c r="G219" s="4">
        <v>0</v>
      </c>
      <c r="H219" s="4">
        <v>172</v>
      </c>
      <c r="I219" s="4">
        <v>0</v>
      </c>
      <c r="J219" s="4">
        <v>0</v>
      </c>
      <c r="K219" s="4">
        <v>1</v>
      </c>
      <c r="L219" s="4">
        <v>0</v>
      </c>
      <c r="M219" s="4">
        <v>3</v>
      </c>
      <c r="N219" s="4">
        <v>0</v>
      </c>
      <c r="O219" s="4">
        <f t="shared" si="19"/>
        <v>-5.2808518539999998</v>
      </c>
      <c r="P219" s="4">
        <f t="shared" si="20"/>
        <v>5.0623369826801956E-3</v>
      </c>
      <c r="Q219" s="4">
        <f t="shared" si="21"/>
        <v>0</v>
      </c>
      <c r="R219" s="4">
        <f t="shared" si="22"/>
        <v>0</v>
      </c>
      <c r="S219" s="4">
        <f t="shared" si="23"/>
        <v>0.99493766301731978</v>
      </c>
      <c r="T219" s="4">
        <f t="shared" si="24"/>
        <v>5.0751940200016183E-3</v>
      </c>
    </row>
    <row r="220" spans="1:20" x14ac:dyDescent="0.25">
      <c r="A220" s="4">
        <v>46</v>
      </c>
      <c r="B220" s="4">
        <v>0</v>
      </c>
      <c r="C220" s="4">
        <v>4</v>
      </c>
      <c r="D220" s="4">
        <v>138</v>
      </c>
      <c r="E220" s="4">
        <v>243</v>
      </c>
      <c r="F220" s="4">
        <v>0</v>
      </c>
      <c r="G220" s="4">
        <v>2</v>
      </c>
      <c r="H220" s="4">
        <v>152</v>
      </c>
      <c r="I220" s="4">
        <v>1</v>
      </c>
      <c r="J220" s="4">
        <v>0</v>
      </c>
      <c r="K220" s="4">
        <v>2</v>
      </c>
      <c r="L220" s="4">
        <v>0</v>
      </c>
      <c r="M220" s="4">
        <v>3</v>
      </c>
      <c r="N220" s="4">
        <v>0</v>
      </c>
      <c r="O220" s="4">
        <f t="shared" si="19"/>
        <v>-0.74098344899999891</v>
      </c>
      <c r="P220" s="4">
        <f t="shared" si="20"/>
        <v>0.32278912798695319</v>
      </c>
      <c r="Q220" s="4">
        <f t="shared" si="21"/>
        <v>0</v>
      </c>
      <c r="R220" s="4">
        <f t="shared" si="22"/>
        <v>0</v>
      </c>
      <c r="S220" s="4">
        <f t="shared" si="23"/>
        <v>0.67721087201304675</v>
      </c>
      <c r="T220" s="4">
        <f t="shared" si="24"/>
        <v>0.38977257449135516</v>
      </c>
    </row>
    <row r="221" spans="1:20" x14ac:dyDescent="0.25">
      <c r="A221" s="4">
        <v>64</v>
      </c>
      <c r="B221" s="4">
        <v>0</v>
      </c>
      <c r="C221" s="4">
        <v>4</v>
      </c>
      <c r="D221" s="4">
        <v>130</v>
      </c>
      <c r="E221" s="4">
        <v>303</v>
      </c>
      <c r="F221" s="4">
        <v>0</v>
      </c>
      <c r="G221" s="4">
        <v>0</v>
      </c>
      <c r="H221" s="4">
        <v>122</v>
      </c>
      <c r="I221" s="4">
        <v>0</v>
      </c>
      <c r="J221" s="4">
        <v>2</v>
      </c>
      <c r="K221" s="4">
        <v>2</v>
      </c>
      <c r="L221" s="4">
        <v>2</v>
      </c>
      <c r="M221" s="4">
        <v>3</v>
      </c>
      <c r="N221" s="4">
        <v>0</v>
      </c>
      <c r="O221" s="4">
        <f t="shared" si="19"/>
        <v>1.3452137310000012</v>
      </c>
      <c r="P221" s="4">
        <f t="shared" si="20"/>
        <v>0.79334603015229066</v>
      </c>
      <c r="Q221" s="4">
        <f t="shared" si="21"/>
        <v>1</v>
      </c>
      <c r="R221" s="4">
        <f t="shared" si="22"/>
        <v>1</v>
      </c>
      <c r="S221" s="4">
        <f t="shared" si="23"/>
        <v>0.20665396984770934</v>
      </c>
      <c r="T221" s="4">
        <f t="shared" si="24"/>
        <v>1.5767095277191527</v>
      </c>
    </row>
    <row r="222" spans="1:20" x14ac:dyDescent="0.25">
      <c r="A222" s="4">
        <v>59</v>
      </c>
      <c r="B222" s="4">
        <v>1</v>
      </c>
      <c r="C222" s="4">
        <v>4</v>
      </c>
      <c r="D222" s="4">
        <v>138</v>
      </c>
      <c r="E222" s="4">
        <v>271</v>
      </c>
      <c r="F222" s="4">
        <v>0</v>
      </c>
      <c r="G222" s="4">
        <v>2</v>
      </c>
      <c r="H222" s="4">
        <v>182</v>
      </c>
      <c r="I222" s="4">
        <v>0</v>
      </c>
      <c r="J222" s="4">
        <v>0</v>
      </c>
      <c r="K222" s="4">
        <v>1</v>
      </c>
      <c r="L222" s="4">
        <v>0</v>
      </c>
      <c r="M222" s="4">
        <v>3</v>
      </c>
      <c r="N222" s="4">
        <v>0</v>
      </c>
      <c r="O222" s="4">
        <f t="shared" si="19"/>
        <v>-1.5891485899999997</v>
      </c>
      <c r="P222" s="4">
        <f t="shared" si="20"/>
        <v>0.16950371807587031</v>
      </c>
      <c r="Q222" s="4">
        <f t="shared" si="21"/>
        <v>0</v>
      </c>
      <c r="R222" s="4">
        <f t="shared" si="22"/>
        <v>0</v>
      </c>
      <c r="S222" s="4">
        <f t="shared" si="23"/>
        <v>0.83049628192412972</v>
      </c>
      <c r="T222" s="4">
        <f t="shared" si="24"/>
        <v>0.18573182685135589</v>
      </c>
    </row>
    <row r="223" spans="1:20" x14ac:dyDescent="0.25">
      <c r="A223" s="4">
        <v>41</v>
      </c>
      <c r="B223" s="4">
        <v>0</v>
      </c>
      <c r="C223" s="4">
        <v>3</v>
      </c>
      <c r="D223" s="4">
        <v>112</v>
      </c>
      <c r="E223" s="4">
        <v>268</v>
      </c>
      <c r="F223" s="4">
        <v>0</v>
      </c>
      <c r="G223" s="4">
        <v>2</v>
      </c>
      <c r="H223" s="4">
        <v>172</v>
      </c>
      <c r="I223" s="4">
        <v>1</v>
      </c>
      <c r="J223" s="4">
        <v>0</v>
      </c>
      <c r="K223" s="4">
        <v>1</v>
      </c>
      <c r="L223" s="4">
        <v>0</v>
      </c>
      <c r="M223" s="4">
        <v>3</v>
      </c>
      <c r="N223" s="4">
        <v>0</v>
      </c>
      <c r="O223" s="4">
        <f t="shared" si="19"/>
        <v>-2.729688286</v>
      </c>
      <c r="P223" s="4">
        <f t="shared" si="20"/>
        <v>6.1244081818188092E-2</v>
      </c>
      <c r="Q223" s="4">
        <f t="shared" si="21"/>
        <v>0</v>
      </c>
      <c r="R223" s="4">
        <f t="shared" si="22"/>
        <v>0</v>
      </c>
      <c r="S223" s="4">
        <f t="shared" si="23"/>
        <v>0.93875591818181192</v>
      </c>
      <c r="T223" s="4">
        <f t="shared" si="24"/>
        <v>6.3199771602160656E-2</v>
      </c>
    </row>
    <row r="224" spans="1:20" x14ac:dyDescent="0.25">
      <c r="A224" s="4">
        <v>54</v>
      </c>
      <c r="B224" s="4">
        <v>0</v>
      </c>
      <c r="C224" s="4">
        <v>3</v>
      </c>
      <c r="D224" s="4">
        <v>108</v>
      </c>
      <c r="E224" s="4">
        <v>267</v>
      </c>
      <c r="F224" s="4">
        <v>0</v>
      </c>
      <c r="G224" s="4">
        <v>2</v>
      </c>
      <c r="H224" s="4">
        <v>167</v>
      </c>
      <c r="I224" s="4">
        <v>0</v>
      </c>
      <c r="J224" s="4">
        <v>0</v>
      </c>
      <c r="K224" s="4">
        <v>1</v>
      </c>
      <c r="L224" s="4">
        <v>0</v>
      </c>
      <c r="M224" s="4">
        <v>3</v>
      </c>
      <c r="N224" s="4">
        <v>0</v>
      </c>
      <c r="O224" s="4">
        <f t="shared" si="19"/>
        <v>-3.8377432809999994</v>
      </c>
      <c r="P224" s="4">
        <f t="shared" si="20"/>
        <v>2.1087882571544921E-2</v>
      </c>
      <c r="Q224" s="4">
        <f t="shared" si="21"/>
        <v>0</v>
      </c>
      <c r="R224" s="4">
        <f t="shared" si="22"/>
        <v>0</v>
      </c>
      <c r="S224" s="4">
        <f t="shared" si="23"/>
        <v>0.97891211742845508</v>
      </c>
      <c r="T224" s="4">
        <f t="shared" si="24"/>
        <v>2.1313408174087195E-2</v>
      </c>
    </row>
    <row r="225" spans="1:20" x14ac:dyDescent="0.25">
      <c r="A225" s="4">
        <v>39</v>
      </c>
      <c r="B225" s="4">
        <v>0</v>
      </c>
      <c r="C225" s="4">
        <v>3</v>
      </c>
      <c r="D225" s="4">
        <v>94</v>
      </c>
      <c r="E225" s="4">
        <v>199</v>
      </c>
      <c r="F225" s="4">
        <v>0</v>
      </c>
      <c r="G225" s="4">
        <v>0</v>
      </c>
      <c r="H225" s="4">
        <v>179</v>
      </c>
      <c r="I225" s="4">
        <v>0</v>
      </c>
      <c r="J225" s="4">
        <v>0</v>
      </c>
      <c r="K225" s="4">
        <v>1</v>
      </c>
      <c r="L225" s="4">
        <v>0</v>
      </c>
      <c r="M225" s="4">
        <v>3</v>
      </c>
      <c r="N225" s="4">
        <v>0</v>
      </c>
      <c r="O225" s="4">
        <f t="shared" si="19"/>
        <v>-5.0399303789999994</v>
      </c>
      <c r="P225" s="4">
        <f t="shared" si="20"/>
        <v>6.432553411670176E-3</v>
      </c>
      <c r="Q225" s="4">
        <f t="shared" si="21"/>
        <v>0</v>
      </c>
      <c r="R225" s="4">
        <f t="shared" si="22"/>
        <v>0</v>
      </c>
      <c r="S225" s="4">
        <f t="shared" si="23"/>
        <v>0.99356744658832985</v>
      </c>
      <c r="T225" s="4">
        <f t="shared" si="24"/>
        <v>6.4533314351258994E-3</v>
      </c>
    </row>
    <row r="226" spans="1:20" x14ac:dyDescent="0.25">
      <c r="A226" s="4">
        <v>53</v>
      </c>
      <c r="B226" s="4">
        <v>1</v>
      </c>
      <c r="C226" s="4">
        <v>4</v>
      </c>
      <c r="D226" s="4">
        <v>123</v>
      </c>
      <c r="E226" s="4">
        <v>282</v>
      </c>
      <c r="F226" s="4">
        <v>0</v>
      </c>
      <c r="G226" s="4">
        <v>0</v>
      </c>
      <c r="H226" s="4">
        <v>95</v>
      </c>
      <c r="I226" s="4">
        <v>1</v>
      </c>
      <c r="J226" s="4">
        <v>2</v>
      </c>
      <c r="K226" s="4">
        <v>2</v>
      </c>
      <c r="L226" s="4">
        <v>2</v>
      </c>
      <c r="M226" s="4">
        <v>7</v>
      </c>
      <c r="N226" s="4">
        <v>1</v>
      </c>
      <c r="O226" s="4">
        <f t="shared" si="19"/>
        <v>5.3996642720000008</v>
      </c>
      <c r="P226" s="4">
        <f t="shared" si="20"/>
        <v>0.99550222385148435</v>
      </c>
      <c r="Q226" s="4">
        <f t="shared" si="21"/>
        <v>1</v>
      </c>
      <c r="R226" s="4">
        <f t="shared" si="22"/>
        <v>0</v>
      </c>
      <c r="S226" s="4">
        <f t="shared" si="23"/>
        <v>0.99550222385148435</v>
      </c>
      <c r="T226" s="4">
        <f t="shared" si="24"/>
        <v>4.5079215763286469E-3</v>
      </c>
    </row>
    <row r="227" spans="1:20" x14ac:dyDescent="0.25">
      <c r="A227" s="4">
        <v>63</v>
      </c>
      <c r="B227" s="4">
        <v>0</v>
      </c>
      <c r="C227" s="4">
        <v>4</v>
      </c>
      <c r="D227" s="4">
        <v>108</v>
      </c>
      <c r="E227" s="4">
        <v>269</v>
      </c>
      <c r="F227" s="4">
        <v>0</v>
      </c>
      <c r="G227" s="4">
        <v>0</v>
      </c>
      <c r="H227" s="4">
        <v>169</v>
      </c>
      <c r="I227" s="4">
        <v>1</v>
      </c>
      <c r="J227" s="4">
        <v>1.8</v>
      </c>
      <c r="K227" s="4">
        <v>2</v>
      </c>
      <c r="L227" s="4">
        <v>2</v>
      </c>
      <c r="M227" s="4">
        <v>3</v>
      </c>
      <c r="N227" s="4">
        <v>1</v>
      </c>
      <c r="O227" s="4">
        <f t="shared" si="19"/>
        <v>0.5659827564000004</v>
      </c>
      <c r="P227" s="4">
        <f t="shared" si="20"/>
        <v>0.63783570138450318</v>
      </c>
      <c r="Q227" s="4">
        <f t="shared" si="21"/>
        <v>1</v>
      </c>
      <c r="R227" s="4">
        <f t="shared" si="22"/>
        <v>0</v>
      </c>
      <c r="S227" s="4">
        <f t="shared" si="23"/>
        <v>0.63783570138450318</v>
      </c>
      <c r="T227" s="4">
        <f t="shared" si="24"/>
        <v>0.44967455014256558</v>
      </c>
    </row>
    <row r="228" spans="1:20" x14ac:dyDescent="0.25">
      <c r="A228" s="4">
        <v>34</v>
      </c>
      <c r="B228" s="4">
        <v>0</v>
      </c>
      <c r="C228" s="4">
        <v>2</v>
      </c>
      <c r="D228" s="4">
        <v>118</v>
      </c>
      <c r="E228" s="4">
        <v>210</v>
      </c>
      <c r="F228" s="4">
        <v>0</v>
      </c>
      <c r="G228" s="4">
        <v>0</v>
      </c>
      <c r="H228" s="4">
        <v>192</v>
      </c>
      <c r="I228" s="4">
        <v>0</v>
      </c>
      <c r="J228" s="4">
        <v>0.7</v>
      </c>
      <c r="K228" s="4">
        <v>1</v>
      </c>
      <c r="L228" s="4">
        <v>0</v>
      </c>
      <c r="M228" s="4">
        <v>3</v>
      </c>
      <c r="N228" s="4">
        <v>0</v>
      </c>
      <c r="O228" s="4">
        <f t="shared" si="19"/>
        <v>-5.0084846544000001</v>
      </c>
      <c r="P228" s="4">
        <f t="shared" si="20"/>
        <v>6.6366799040672607E-3</v>
      </c>
      <c r="Q228" s="4">
        <f t="shared" si="21"/>
        <v>0</v>
      </c>
      <c r="R228" s="4">
        <f t="shared" si="22"/>
        <v>0</v>
      </c>
      <c r="S228" s="4">
        <f t="shared" si="23"/>
        <v>0.99336332009593276</v>
      </c>
      <c r="T228" s="4">
        <f t="shared" si="24"/>
        <v>6.6588005904059085E-3</v>
      </c>
    </row>
    <row r="229" spans="1:20" x14ac:dyDescent="0.25">
      <c r="A229" s="4">
        <v>47</v>
      </c>
      <c r="B229" s="4">
        <v>1</v>
      </c>
      <c r="C229" s="4">
        <v>4</v>
      </c>
      <c r="D229" s="4">
        <v>112</v>
      </c>
      <c r="E229" s="4">
        <v>204</v>
      </c>
      <c r="F229" s="4">
        <v>0</v>
      </c>
      <c r="G229" s="4">
        <v>0</v>
      </c>
      <c r="H229" s="4">
        <v>143</v>
      </c>
      <c r="I229" s="4">
        <v>0</v>
      </c>
      <c r="J229" s="4">
        <v>0.1</v>
      </c>
      <c r="K229" s="4">
        <v>1</v>
      </c>
      <c r="L229" s="4">
        <v>0</v>
      </c>
      <c r="M229" s="4">
        <v>3</v>
      </c>
      <c r="N229" s="4">
        <v>0</v>
      </c>
      <c r="O229" s="4">
        <f t="shared" si="19"/>
        <v>-2.0387587282000004</v>
      </c>
      <c r="P229" s="4">
        <f t="shared" si="20"/>
        <v>0.11519318666321525</v>
      </c>
      <c r="Q229" s="4">
        <f t="shared" si="21"/>
        <v>0</v>
      </c>
      <c r="R229" s="4">
        <f t="shared" si="22"/>
        <v>0</v>
      </c>
      <c r="S229" s="4">
        <f t="shared" si="23"/>
        <v>0.88480681333678479</v>
      </c>
      <c r="T229" s="4">
        <f t="shared" si="24"/>
        <v>0.12238594781787307</v>
      </c>
    </row>
    <row r="230" spans="1:20" x14ac:dyDescent="0.25">
      <c r="A230" s="4">
        <v>67</v>
      </c>
      <c r="B230" s="4">
        <v>0</v>
      </c>
      <c r="C230" s="4">
        <v>3</v>
      </c>
      <c r="D230" s="4">
        <v>152</v>
      </c>
      <c r="E230" s="4">
        <v>277</v>
      </c>
      <c r="F230" s="4">
        <v>0</v>
      </c>
      <c r="G230" s="4">
        <v>0</v>
      </c>
      <c r="H230" s="4">
        <v>172</v>
      </c>
      <c r="I230" s="4">
        <v>0</v>
      </c>
      <c r="J230" s="4">
        <v>0</v>
      </c>
      <c r="K230" s="4">
        <v>1</v>
      </c>
      <c r="L230" s="4">
        <v>1</v>
      </c>
      <c r="M230" s="4">
        <v>3</v>
      </c>
      <c r="N230" s="4">
        <v>0</v>
      </c>
      <c r="O230" s="4">
        <f t="shared" si="19"/>
        <v>-2.2398094889999989</v>
      </c>
      <c r="P230" s="4">
        <f t="shared" si="20"/>
        <v>9.6232109461854606E-2</v>
      </c>
      <c r="Q230" s="4">
        <f t="shared" si="21"/>
        <v>0</v>
      </c>
      <c r="R230" s="4">
        <f t="shared" si="22"/>
        <v>0</v>
      </c>
      <c r="S230" s="4">
        <f t="shared" si="23"/>
        <v>0.90376789053814544</v>
      </c>
      <c r="T230" s="4">
        <f t="shared" si="24"/>
        <v>0.10118270981226836</v>
      </c>
    </row>
    <row r="231" spans="1:20" x14ac:dyDescent="0.25">
      <c r="A231" s="4">
        <v>54</v>
      </c>
      <c r="B231" s="4">
        <v>1</v>
      </c>
      <c r="C231" s="4">
        <v>4</v>
      </c>
      <c r="D231" s="4">
        <v>110</v>
      </c>
      <c r="E231" s="4">
        <v>206</v>
      </c>
      <c r="F231" s="4">
        <v>0</v>
      </c>
      <c r="G231" s="4">
        <v>2</v>
      </c>
      <c r="H231" s="4">
        <v>108</v>
      </c>
      <c r="I231" s="4">
        <v>1</v>
      </c>
      <c r="J231" s="4">
        <v>0</v>
      </c>
      <c r="K231" s="4">
        <v>2</v>
      </c>
      <c r="L231" s="4">
        <v>1</v>
      </c>
      <c r="M231" s="4">
        <v>3</v>
      </c>
      <c r="N231" s="4">
        <v>1</v>
      </c>
      <c r="O231" s="4">
        <f t="shared" si="19"/>
        <v>1.7767027259999999</v>
      </c>
      <c r="P231" s="4">
        <f t="shared" si="20"/>
        <v>0.8552892416699901</v>
      </c>
      <c r="Q231" s="4">
        <f t="shared" si="21"/>
        <v>1</v>
      </c>
      <c r="R231" s="4">
        <f t="shared" si="22"/>
        <v>0</v>
      </c>
      <c r="S231" s="4">
        <f t="shared" si="23"/>
        <v>0.8552892416699901</v>
      </c>
      <c r="T231" s="4">
        <f t="shared" si="24"/>
        <v>0.15631557290314327</v>
      </c>
    </row>
    <row r="232" spans="1:20" x14ac:dyDescent="0.25">
      <c r="A232" s="4">
        <v>66</v>
      </c>
      <c r="B232" s="4">
        <v>1</v>
      </c>
      <c r="C232" s="4">
        <v>4</v>
      </c>
      <c r="D232" s="4">
        <v>112</v>
      </c>
      <c r="E232" s="4">
        <v>212</v>
      </c>
      <c r="F232" s="4">
        <v>0</v>
      </c>
      <c r="G232" s="4">
        <v>2</v>
      </c>
      <c r="H232" s="4">
        <v>132</v>
      </c>
      <c r="I232" s="4">
        <v>1</v>
      </c>
      <c r="J232" s="4">
        <v>0.1</v>
      </c>
      <c r="K232" s="4">
        <v>1</v>
      </c>
      <c r="L232" s="4">
        <v>1</v>
      </c>
      <c r="M232" s="4">
        <v>3</v>
      </c>
      <c r="N232" s="4">
        <v>1</v>
      </c>
      <c r="O232" s="4">
        <f t="shared" si="19"/>
        <v>0.64360936980000005</v>
      </c>
      <c r="P232" s="4">
        <f t="shared" si="20"/>
        <v>0.65556890721841776</v>
      </c>
      <c r="Q232" s="4">
        <f t="shared" si="21"/>
        <v>1</v>
      </c>
      <c r="R232" s="4">
        <f t="shared" si="22"/>
        <v>0</v>
      </c>
      <c r="S232" s="4">
        <f t="shared" si="23"/>
        <v>0.65556890721841776</v>
      </c>
      <c r="T232" s="4">
        <f t="shared" si="24"/>
        <v>0.42225185968859985</v>
      </c>
    </row>
    <row r="233" spans="1:20" x14ac:dyDescent="0.25">
      <c r="A233" s="4">
        <v>52</v>
      </c>
      <c r="B233" s="4">
        <v>0</v>
      </c>
      <c r="C233" s="4">
        <v>3</v>
      </c>
      <c r="D233" s="4">
        <v>136</v>
      </c>
      <c r="E233" s="4">
        <v>196</v>
      </c>
      <c r="F233" s="4">
        <v>0</v>
      </c>
      <c r="G233" s="4">
        <v>2</v>
      </c>
      <c r="H233" s="4">
        <v>169</v>
      </c>
      <c r="I233" s="4">
        <v>0</v>
      </c>
      <c r="J233" s="4">
        <v>0.1</v>
      </c>
      <c r="K233" s="4">
        <v>2</v>
      </c>
      <c r="L233" s="4">
        <v>0</v>
      </c>
      <c r="M233" s="4">
        <v>3</v>
      </c>
      <c r="N233" s="4">
        <v>0</v>
      </c>
      <c r="O233" s="4">
        <f t="shared" si="19"/>
        <v>-2.9374035831999992</v>
      </c>
      <c r="P233" s="4">
        <f t="shared" si="20"/>
        <v>5.033524127542896E-2</v>
      </c>
      <c r="Q233" s="4">
        <f t="shared" si="21"/>
        <v>0</v>
      </c>
      <c r="R233" s="4">
        <f t="shared" si="22"/>
        <v>0</v>
      </c>
      <c r="S233" s="4">
        <f t="shared" si="23"/>
        <v>0.94966475872457101</v>
      </c>
      <c r="T233" s="4">
        <f t="shared" si="24"/>
        <v>5.1646242219392416E-2</v>
      </c>
    </row>
    <row r="234" spans="1:20" x14ac:dyDescent="0.25">
      <c r="A234" s="4">
        <v>55</v>
      </c>
      <c r="B234" s="4">
        <v>0</v>
      </c>
      <c r="C234" s="4">
        <v>4</v>
      </c>
      <c r="D234" s="4">
        <v>180</v>
      </c>
      <c r="E234" s="4">
        <v>327</v>
      </c>
      <c r="F234" s="4">
        <v>0</v>
      </c>
      <c r="G234" s="4">
        <v>1</v>
      </c>
      <c r="H234" s="4">
        <v>117</v>
      </c>
      <c r="I234" s="4">
        <v>1</v>
      </c>
      <c r="J234" s="4">
        <v>3.4</v>
      </c>
      <c r="K234" s="4">
        <v>2</v>
      </c>
      <c r="L234" s="4">
        <v>0</v>
      </c>
      <c r="M234" s="4">
        <v>3</v>
      </c>
      <c r="N234" s="4">
        <v>1</v>
      </c>
      <c r="O234" s="4">
        <f t="shared" si="19"/>
        <v>1.8802655062000007</v>
      </c>
      <c r="P234" s="4">
        <f t="shared" si="20"/>
        <v>0.86764162007048273</v>
      </c>
      <c r="Q234" s="4">
        <f t="shared" si="21"/>
        <v>1</v>
      </c>
      <c r="R234" s="4">
        <f t="shared" si="22"/>
        <v>0</v>
      </c>
      <c r="S234" s="4">
        <f t="shared" si="23"/>
        <v>0.86764162007048273</v>
      </c>
      <c r="T234" s="4">
        <f t="shared" si="24"/>
        <v>0.14197652968337565</v>
      </c>
    </row>
    <row r="235" spans="1:20" x14ac:dyDescent="0.25">
      <c r="A235" s="4">
        <v>49</v>
      </c>
      <c r="B235" s="4">
        <v>1</v>
      </c>
      <c r="C235" s="4">
        <v>3</v>
      </c>
      <c r="D235" s="4">
        <v>118</v>
      </c>
      <c r="E235" s="4">
        <v>149</v>
      </c>
      <c r="F235" s="4">
        <v>0</v>
      </c>
      <c r="G235" s="4">
        <v>2</v>
      </c>
      <c r="H235" s="4">
        <v>126</v>
      </c>
      <c r="I235" s="4">
        <v>0</v>
      </c>
      <c r="J235" s="4">
        <v>0.8</v>
      </c>
      <c r="K235" s="4">
        <v>1</v>
      </c>
      <c r="L235" s="4">
        <v>3</v>
      </c>
      <c r="M235" s="4">
        <v>3</v>
      </c>
      <c r="N235" s="4">
        <v>1</v>
      </c>
      <c r="O235" s="4">
        <f t="shared" si="19"/>
        <v>2.044447289399999</v>
      </c>
      <c r="P235" s="4">
        <f t="shared" si="20"/>
        <v>0.88538534467180063</v>
      </c>
      <c r="Q235" s="4">
        <f t="shared" si="21"/>
        <v>1</v>
      </c>
      <c r="R235" s="4">
        <f t="shared" si="22"/>
        <v>0</v>
      </c>
      <c r="S235" s="4">
        <f t="shared" si="23"/>
        <v>0.88538534467180063</v>
      </c>
      <c r="T235" s="4">
        <f t="shared" si="24"/>
        <v>0.12173231103274081</v>
      </c>
    </row>
    <row r="236" spans="1:20" x14ac:dyDescent="0.25">
      <c r="A236" s="4">
        <v>74</v>
      </c>
      <c r="B236" s="4">
        <v>0</v>
      </c>
      <c r="C236" s="4">
        <v>2</v>
      </c>
      <c r="D236" s="4">
        <v>120</v>
      </c>
      <c r="E236" s="4">
        <v>269</v>
      </c>
      <c r="F236" s="4">
        <v>0</v>
      </c>
      <c r="G236" s="4">
        <v>2</v>
      </c>
      <c r="H236" s="4">
        <v>121</v>
      </c>
      <c r="I236" s="4">
        <v>1</v>
      </c>
      <c r="J236" s="4">
        <v>0.2</v>
      </c>
      <c r="K236" s="4">
        <v>1</v>
      </c>
      <c r="L236" s="4">
        <v>1</v>
      </c>
      <c r="M236" s="4">
        <v>3</v>
      </c>
      <c r="N236" s="4">
        <v>0</v>
      </c>
      <c r="O236" s="4">
        <f t="shared" si="19"/>
        <v>-1.2044798083999986</v>
      </c>
      <c r="P236" s="4">
        <f t="shared" si="20"/>
        <v>0.23067924233147247</v>
      </c>
      <c r="Q236" s="4">
        <f t="shared" si="21"/>
        <v>0</v>
      </c>
      <c r="R236" s="4">
        <f t="shared" si="22"/>
        <v>0</v>
      </c>
      <c r="S236" s="4">
        <f t="shared" si="23"/>
        <v>0.76932075766852748</v>
      </c>
      <c r="T236" s="4">
        <f t="shared" si="24"/>
        <v>0.26224728634061323</v>
      </c>
    </row>
    <row r="237" spans="1:20" x14ac:dyDescent="0.25">
      <c r="A237" s="4">
        <v>54</v>
      </c>
      <c r="B237" s="4">
        <v>0</v>
      </c>
      <c r="C237" s="4">
        <v>3</v>
      </c>
      <c r="D237" s="4">
        <v>160</v>
      </c>
      <c r="E237" s="4">
        <v>201</v>
      </c>
      <c r="F237" s="4">
        <v>0</v>
      </c>
      <c r="G237" s="4">
        <v>0</v>
      </c>
      <c r="H237" s="4">
        <v>163</v>
      </c>
      <c r="I237" s="4">
        <v>0</v>
      </c>
      <c r="J237" s="4">
        <v>0</v>
      </c>
      <c r="K237" s="4">
        <v>1</v>
      </c>
      <c r="L237" s="4">
        <v>1</v>
      </c>
      <c r="M237" s="4">
        <v>3</v>
      </c>
      <c r="N237" s="4">
        <v>0</v>
      </c>
      <c r="O237" s="4">
        <f t="shared" si="19"/>
        <v>-2.0570517679999991</v>
      </c>
      <c r="P237" s="4">
        <f t="shared" si="20"/>
        <v>0.11334177629873232</v>
      </c>
      <c r="Q237" s="4">
        <f t="shared" si="21"/>
        <v>0</v>
      </c>
      <c r="R237" s="4">
        <f t="shared" si="22"/>
        <v>0</v>
      </c>
      <c r="S237" s="4">
        <f t="shared" si="23"/>
        <v>0.88665822370126768</v>
      </c>
      <c r="T237" s="4">
        <f t="shared" si="24"/>
        <v>0.1202956880612653</v>
      </c>
    </row>
    <row r="238" spans="1:20" x14ac:dyDescent="0.25">
      <c r="A238" s="4">
        <v>54</v>
      </c>
      <c r="B238" s="4">
        <v>1</v>
      </c>
      <c r="C238" s="4">
        <v>4</v>
      </c>
      <c r="D238" s="4">
        <v>122</v>
      </c>
      <c r="E238" s="4">
        <v>286</v>
      </c>
      <c r="F238" s="4">
        <v>0</v>
      </c>
      <c r="G238" s="4">
        <v>2</v>
      </c>
      <c r="H238" s="4">
        <v>116</v>
      </c>
      <c r="I238" s="4">
        <v>1</v>
      </c>
      <c r="J238" s="4">
        <v>3.2</v>
      </c>
      <c r="K238" s="4">
        <v>2</v>
      </c>
      <c r="L238" s="4">
        <v>2</v>
      </c>
      <c r="M238" s="4">
        <v>3</v>
      </c>
      <c r="N238" s="4">
        <v>1</v>
      </c>
      <c r="O238" s="4">
        <f t="shared" si="19"/>
        <v>4.3589213506000011</v>
      </c>
      <c r="P238" s="4">
        <f t="shared" si="20"/>
        <v>0.98736939447416561</v>
      </c>
      <c r="Q238" s="4">
        <f t="shared" si="21"/>
        <v>1</v>
      </c>
      <c r="R238" s="4">
        <f t="shared" si="22"/>
        <v>0</v>
      </c>
      <c r="S238" s="4">
        <f t="shared" si="23"/>
        <v>0.98736939447416561</v>
      </c>
      <c r="T238" s="4">
        <f t="shared" si="24"/>
        <v>1.2711049714159837E-2</v>
      </c>
    </row>
    <row r="239" spans="1:20" x14ac:dyDescent="0.25">
      <c r="A239" s="4">
        <v>56</v>
      </c>
      <c r="B239" s="4">
        <v>1</v>
      </c>
      <c r="C239" s="4">
        <v>4</v>
      </c>
      <c r="D239" s="4">
        <v>130</v>
      </c>
      <c r="E239" s="4">
        <v>283</v>
      </c>
      <c r="F239" s="4">
        <v>1</v>
      </c>
      <c r="G239" s="4">
        <v>2</v>
      </c>
      <c r="H239" s="4">
        <v>103</v>
      </c>
      <c r="I239" s="4">
        <v>1</v>
      </c>
      <c r="J239" s="4">
        <v>1.6</v>
      </c>
      <c r="K239" s="4">
        <v>3</v>
      </c>
      <c r="L239" s="4">
        <v>0</v>
      </c>
      <c r="M239" s="4">
        <v>7</v>
      </c>
      <c r="N239" s="4">
        <v>1</v>
      </c>
      <c r="O239" s="4">
        <f t="shared" si="19"/>
        <v>2.7691886688</v>
      </c>
      <c r="P239" s="4">
        <f t="shared" si="20"/>
        <v>0.9409879497313981</v>
      </c>
      <c r="Q239" s="4">
        <f t="shared" si="21"/>
        <v>1</v>
      </c>
      <c r="R239" s="4">
        <f t="shared" si="22"/>
        <v>0</v>
      </c>
      <c r="S239" s="4">
        <f t="shared" si="23"/>
        <v>0.9409879497313981</v>
      </c>
      <c r="T239" s="4">
        <f t="shared" si="24"/>
        <v>6.0824945290231691E-2</v>
      </c>
    </row>
    <row r="240" spans="1:20" x14ac:dyDescent="0.25">
      <c r="A240" s="4">
        <v>46</v>
      </c>
      <c r="B240" s="4">
        <v>1</v>
      </c>
      <c r="C240" s="4">
        <v>4</v>
      </c>
      <c r="D240" s="4">
        <v>120</v>
      </c>
      <c r="E240" s="4">
        <v>249</v>
      </c>
      <c r="F240" s="4">
        <v>0</v>
      </c>
      <c r="G240" s="4">
        <v>2</v>
      </c>
      <c r="H240" s="4">
        <v>144</v>
      </c>
      <c r="I240" s="4">
        <v>0</v>
      </c>
      <c r="J240" s="4">
        <v>0.8</v>
      </c>
      <c r="K240" s="4">
        <v>1</v>
      </c>
      <c r="L240" s="4">
        <v>0</v>
      </c>
      <c r="M240" s="4">
        <v>7</v>
      </c>
      <c r="N240" s="4">
        <v>1</v>
      </c>
      <c r="O240" s="4">
        <f t="shared" si="19"/>
        <v>0.41111202239999933</v>
      </c>
      <c r="P240" s="4">
        <f t="shared" si="20"/>
        <v>0.6013544909613121</v>
      </c>
      <c r="Q240" s="4">
        <f t="shared" si="21"/>
        <v>1</v>
      </c>
      <c r="R240" s="4">
        <f t="shared" si="22"/>
        <v>0</v>
      </c>
      <c r="S240" s="4">
        <f t="shared" si="23"/>
        <v>0.6013544909613121</v>
      </c>
      <c r="T240" s="4">
        <f t="shared" si="24"/>
        <v>0.50857068312117504</v>
      </c>
    </row>
    <row r="241" spans="1:20" x14ac:dyDescent="0.25">
      <c r="A241" s="4">
        <v>49</v>
      </c>
      <c r="B241" s="4">
        <v>0</v>
      </c>
      <c r="C241" s="4">
        <v>2</v>
      </c>
      <c r="D241" s="4">
        <v>134</v>
      </c>
      <c r="E241" s="4">
        <v>271</v>
      </c>
      <c r="F241" s="4">
        <v>0</v>
      </c>
      <c r="G241" s="4">
        <v>0</v>
      </c>
      <c r="H241" s="4">
        <v>162</v>
      </c>
      <c r="I241" s="4">
        <v>0</v>
      </c>
      <c r="J241" s="4">
        <v>0</v>
      </c>
      <c r="K241" s="4">
        <v>2</v>
      </c>
      <c r="L241" s="4">
        <v>0</v>
      </c>
      <c r="M241" s="4">
        <v>3</v>
      </c>
      <c r="N241" s="4">
        <v>0</v>
      </c>
      <c r="O241" s="4">
        <f t="shared" si="19"/>
        <v>-3.5146630590000001</v>
      </c>
      <c r="P241" s="4">
        <f t="shared" si="20"/>
        <v>2.8897889475767522E-2</v>
      </c>
      <c r="Q241" s="4">
        <f t="shared" si="21"/>
        <v>0</v>
      </c>
      <c r="R241" s="4">
        <f t="shared" si="22"/>
        <v>0</v>
      </c>
      <c r="S241" s="4">
        <f t="shared" si="23"/>
        <v>0.97110211052423245</v>
      </c>
      <c r="T241" s="4">
        <f t="shared" si="24"/>
        <v>2.9323656050617673E-2</v>
      </c>
    </row>
    <row r="242" spans="1:20" x14ac:dyDescent="0.25">
      <c r="A242" s="4">
        <v>42</v>
      </c>
      <c r="B242" s="4">
        <v>1</v>
      </c>
      <c r="C242" s="4">
        <v>2</v>
      </c>
      <c r="D242" s="4">
        <v>120</v>
      </c>
      <c r="E242" s="4">
        <v>295</v>
      </c>
      <c r="F242" s="4">
        <v>0</v>
      </c>
      <c r="G242" s="4">
        <v>0</v>
      </c>
      <c r="H242" s="4">
        <v>162</v>
      </c>
      <c r="I242" s="4">
        <v>0</v>
      </c>
      <c r="J242" s="4">
        <v>0</v>
      </c>
      <c r="K242" s="4">
        <v>1</v>
      </c>
      <c r="L242" s="4">
        <v>0</v>
      </c>
      <c r="M242" s="4">
        <v>3</v>
      </c>
      <c r="N242" s="4">
        <v>0</v>
      </c>
      <c r="O242" s="4">
        <f t="shared" si="19"/>
        <v>-2.8901961919999994</v>
      </c>
      <c r="P242" s="4">
        <f t="shared" si="20"/>
        <v>5.2640333613162622E-2</v>
      </c>
      <c r="Q242" s="4">
        <f t="shared" si="21"/>
        <v>0</v>
      </c>
      <c r="R242" s="4">
        <f t="shared" si="22"/>
        <v>0</v>
      </c>
      <c r="S242" s="4">
        <f t="shared" si="23"/>
        <v>0.94735966638683733</v>
      </c>
      <c r="T242" s="4">
        <f t="shared" si="24"/>
        <v>5.4076462349090561E-2</v>
      </c>
    </row>
    <row r="243" spans="1:20" x14ac:dyDescent="0.25">
      <c r="A243" s="4">
        <v>41</v>
      </c>
      <c r="B243" s="4">
        <v>1</v>
      </c>
      <c r="C243" s="4">
        <v>2</v>
      </c>
      <c r="D243" s="4">
        <v>110</v>
      </c>
      <c r="E243" s="4">
        <v>235</v>
      </c>
      <c r="F243" s="4">
        <v>0</v>
      </c>
      <c r="G243" s="4">
        <v>0</v>
      </c>
      <c r="H243" s="4">
        <v>153</v>
      </c>
      <c r="I243" s="4">
        <v>0</v>
      </c>
      <c r="J243" s="4">
        <v>0</v>
      </c>
      <c r="K243" s="4">
        <v>1</v>
      </c>
      <c r="L243" s="4">
        <v>0</v>
      </c>
      <c r="M243" s="4">
        <v>3</v>
      </c>
      <c r="N243" s="4">
        <v>0</v>
      </c>
      <c r="O243" s="4">
        <f t="shared" si="19"/>
        <v>-3.2302364229999991</v>
      </c>
      <c r="P243" s="4">
        <f t="shared" si="20"/>
        <v>3.8043593923917755E-2</v>
      </c>
      <c r="Q243" s="4">
        <f t="shared" si="21"/>
        <v>0</v>
      </c>
      <c r="R243" s="4">
        <f t="shared" si="22"/>
        <v>0</v>
      </c>
      <c r="S243" s="4">
        <f t="shared" si="23"/>
        <v>0.96195640607608224</v>
      </c>
      <c r="T243" s="4">
        <f t="shared" si="24"/>
        <v>3.8786145272456746E-2</v>
      </c>
    </row>
    <row r="244" spans="1:20" x14ac:dyDescent="0.25">
      <c r="A244" s="4">
        <v>41</v>
      </c>
      <c r="B244" s="4">
        <v>0</v>
      </c>
      <c r="C244" s="4">
        <v>2</v>
      </c>
      <c r="D244" s="4">
        <v>126</v>
      </c>
      <c r="E244" s="4">
        <v>306</v>
      </c>
      <c r="F244" s="4">
        <v>0</v>
      </c>
      <c r="G244" s="4">
        <v>0</v>
      </c>
      <c r="H244" s="4">
        <v>163</v>
      </c>
      <c r="I244" s="4">
        <v>0</v>
      </c>
      <c r="J244" s="4">
        <v>0</v>
      </c>
      <c r="K244" s="4">
        <v>1</v>
      </c>
      <c r="L244" s="4">
        <v>0</v>
      </c>
      <c r="M244" s="4">
        <v>3</v>
      </c>
      <c r="N244" s="4">
        <v>0</v>
      </c>
      <c r="O244" s="4">
        <f t="shared" si="19"/>
        <v>-4.009598776999999</v>
      </c>
      <c r="P244" s="4">
        <f t="shared" si="20"/>
        <v>1.7817451680841551E-2</v>
      </c>
      <c r="Q244" s="4">
        <f t="shared" si="21"/>
        <v>0</v>
      </c>
      <c r="R244" s="4">
        <f t="shared" si="22"/>
        <v>0</v>
      </c>
      <c r="S244" s="4">
        <f t="shared" si="23"/>
        <v>0.98218254831915841</v>
      </c>
      <c r="T244" s="4">
        <f t="shared" si="24"/>
        <v>1.7978093485202695E-2</v>
      </c>
    </row>
    <row r="245" spans="1:20" x14ac:dyDescent="0.25">
      <c r="A245" s="4">
        <v>49</v>
      </c>
      <c r="B245" s="4">
        <v>0</v>
      </c>
      <c r="C245" s="4">
        <v>4</v>
      </c>
      <c r="D245" s="4">
        <v>130</v>
      </c>
      <c r="E245" s="4">
        <v>269</v>
      </c>
      <c r="F245" s="4">
        <v>0</v>
      </c>
      <c r="G245" s="4">
        <v>0</v>
      </c>
      <c r="H245" s="4">
        <v>163</v>
      </c>
      <c r="I245" s="4">
        <v>0</v>
      </c>
      <c r="J245" s="4">
        <v>0</v>
      </c>
      <c r="K245" s="4">
        <v>1</v>
      </c>
      <c r="L245" s="4">
        <v>0</v>
      </c>
      <c r="M245" s="4">
        <v>3</v>
      </c>
      <c r="N245" s="4">
        <v>0</v>
      </c>
      <c r="O245" s="4">
        <f t="shared" si="19"/>
        <v>-3.0597026869999997</v>
      </c>
      <c r="P245" s="4">
        <f t="shared" si="20"/>
        <v>4.480042434620992E-2</v>
      </c>
      <c r="Q245" s="4">
        <f t="shared" si="21"/>
        <v>0</v>
      </c>
      <c r="R245" s="4">
        <f t="shared" si="22"/>
        <v>0</v>
      </c>
      <c r="S245" s="4">
        <f t="shared" si="23"/>
        <v>0.9551995756537901</v>
      </c>
      <c r="T245" s="4">
        <f t="shared" si="24"/>
        <v>4.5834980592442794E-2</v>
      </c>
    </row>
    <row r="246" spans="1:20" x14ac:dyDescent="0.25">
      <c r="A246" s="4">
        <v>61</v>
      </c>
      <c r="B246" s="4">
        <v>1</v>
      </c>
      <c r="C246" s="4">
        <v>1</v>
      </c>
      <c r="D246" s="4">
        <v>134</v>
      </c>
      <c r="E246" s="4">
        <v>234</v>
      </c>
      <c r="F246" s="4">
        <v>0</v>
      </c>
      <c r="G246" s="4">
        <v>0</v>
      </c>
      <c r="H246" s="4">
        <v>145</v>
      </c>
      <c r="I246" s="4">
        <v>0</v>
      </c>
      <c r="J246" s="4">
        <v>2.6</v>
      </c>
      <c r="K246" s="4">
        <v>2</v>
      </c>
      <c r="L246" s="4">
        <v>2</v>
      </c>
      <c r="M246" s="4">
        <v>3</v>
      </c>
      <c r="N246" s="4">
        <v>1</v>
      </c>
      <c r="O246" s="4">
        <f t="shared" si="19"/>
        <v>0.39671487280000051</v>
      </c>
      <c r="P246" s="4">
        <f t="shared" si="20"/>
        <v>0.59789811774075574</v>
      </c>
      <c r="Q246" s="4">
        <f t="shared" si="21"/>
        <v>1</v>
      </c>
      <c r="R246" s="4">
        <f t="shared" si="22"/>
        <v>0</v>
      </c>
      <c r="S246" s="4">
        <f t="shared" si="23"/>
        <v>0.59789811774075574</v>
      </c>
      <c r="T246" s="4">
        <f t="shared" si="24"/>
        <v>0.51433491121738406</v>
      </c>
    </row>
    <row r="247" spans="1:20" x14ac:dyDescent="0.25">
      <c r="A247" s="4">
        <v>60</v>
      </c>
      <c r="B247" s="4">
        <v>0</v>
      </c>
      <c r="C247" s="4">
        <v>3</v>
      </c>
      <c r="D247" s="4">
        <v>120</v>
      </c>
      <c r="E247" s="4">
        <v>178</v>
      </c>
      <c r="F247" s="4">
        <v>1</v>
      </c>
      <c r="G247" s="4">
        <v>0</v>
      </c>
      <c r="H247" s="4">
        <v>96</v>
      </c>
      <c r="I247" s="4">
        <v>0</v>
      </c>
      <c r="J247" s="4">
        <v>0</v>
      </c>
      <c r="K247" s="4">
        <v>1</v>
      </c>
      <c r="L247" s="4">
        <v>0</v>
      </c>
      <c r="M247" s="4">
        <v>3</v>
      </c>
      <c r="N247" s="4">
        <v>0</v>
      </c>
      <c r="O247" s="4">
        <f t="shared" si="19"/>
        <v>-4.1238720749999995</v>
      </c>
      <c r="P247" s="4">
        <f t="shared" si="20"/>
        <v>1.5924057192518506E-2</v>
      </c>
      <c r="Q247" s="4">
        <f t="shared" si="21"/>
        <v>0</v>
      </c>
      <c r="R247" s="4">
        <f t="shared" si="22"/>
        <v>0</v>
      </c>
      <c r="S247" s="4">
        <f t="shared" si="23"/>
        <v>0.98407594280748145</v>
      </c>
      <c r="T247" s="4">
        <f t="shared" si="24"/>
        <v>1.6052207258045702E-2</v>
      </c>
    </row>
    <row r="248" spans="1:20" x14ac:dyDescent="0.25">
      <c r="A248" s="4">
        <v>67</v>
      </c>
      <c r="B248" s="4">
        <v>1</v>
      </c>
      <c r="C248" s="4">
        <v>4</v>
      </c>
      <c r="D248" s="4">
        <v>120</v>
      </c>
      <c r="E248" s="4">
        <v>237</v>
      </c>
      <c r="F248" s="4">
        <v>0</v>
      </c>
      <c r="G248" s="4">
        <v>0</v>
      </c>
      <c r="H248" s="4">
        <v>71</v>
      </c>
      <c r="I248" s="4">
        <v>0</v>
      </c>
      <c r="J248" s="4">
        <v>1</v>
      </c>
      <c r="K248" s="4">
        <v>2</v>
      </c>
      <c r="L248" s="4">
        <v>0</v>
      </c>
      <c r="M248" s="4">
        <v>3</v>
      </c>
      <c r="N248" s="4">
        <v>1</v>
      </c>
      <c r="O248" s="4">
        <f t="shared" si="19"/>
        <v>0.31573204200000049</v>
      </c>
      <c r="P248" s="4">
        <f t="shared" si="20"/>
        <v>0.57828376739931386</v>
      </c>
      <c r="Q248" s="4">
        <f t="shared" si="21"/>
        <v>1</v>
      </c>
      <c r="R248" s="4">
        <f t="shared" si="22"/>
        <v>0</v>
      </c>
      <c r="S248" s="4">
        <f t="shared" si="23"/>
        <v>0.57828376739931386</v>
      </c>
      <c r="T248" s="4">
        <f t="shared" si="24"/>
        <v>0.54769058372720014</v>
      </c>
    </row>
    <row r="249" spans="1:20" x14ac:dyDescent="0.25">
      <c r="A249" s="4">
        <v>58</v>
      </c>
      <c r="B249" s="4">
        <v>1</v>
      </c>
      <c r="C249" s="4">
        <v>4</v>
      </c>
      <c r="D249" s="4">
        <v>100</v>
      </c>
      <c r="E249" s="4">
        <v>234</v>
      </c>
      <c r="F249" s="4">
        <v>0</v>
      </c>
      <c r="G249" s="4">
        <v>0</v>
      </c>
      <c r="H249" s="4">
        <v>156</v>
      </c>
      <c r="I249" s="4">
        <v>0</v>
      </c>
      <c r="J249" s="4">
        <v>0.1</v>
      </c>
      <c r="K249" s="4">
        <v>1</v>
      </c>
      <c r="L249" s="4">
        <v>1</v>
      </c>
      <c r="M249" s="4">
        <v>7</v>
      </c>
      <c r="N249" s="4">
        <v>1</v>
      </c>
      <c r="O249" s="4">
        <f t="shared" si="19"/>
        <v>4.1644697800000685E-2</v>
      </c>
      <c r="P249" s="4">
        <f t="shared" si="20"/>
        <v>0.51040967005252724</v>
      </c>
      <c r="Q249" s="4">
        <f t="shared" si="21"/>
        <v>1</v>
      </c>
      <c r="R249" s="4">
        <f t="shared" si="22"/>
        <v>0</v>
      </c>
      <c r="S249" s="4">
        <f t="shared" si="23"/>
        <v>0.51040967005252724</v>
      </c>
      <c r="T249" s="4">
        <f t="shared" si="24"/>
        <v>0.67254160110335193</v>
      </c>
    </row>
    <row r="250" spans="1:20" x14ac:dyDescent="0.25">
      <c r="A250" s="4">
        <v>47</v>
      </c>
      <c r="B250" s="4">
        <v>1</v>
      </c>
      <c r="C250" s="4">
        <v>4</v>
      </c>
      <c r="D250" s="4">
        <v>110</v>
      </c>
      <c r="E250" s="4">
        <v>275</v>
      </c>
      <c r="F250" s="4">
        <v>0</v>
      </c>
      <c r="G250" s="4">
        <v>2</v>
      </c>
      <c r="H250" s="4">
        <v>118</v>
      </c>
      <c r="I250" s="4">
        <v>1</v>
      </c>
      <c r="J250" s="4">
        <v>1</v>
      </c>
      <c r="K250" s="4">
        <v>2</v>
      </c>
      <c r="L250" s="4">
        <v>1</v>
      </c>
      <c r="M250" s="4">
        <v>3</v>
      </c>
      <c r="N250" s="4">
        <v>1</v>
      </c>
      <c r="O250" s="4">
        <f t="shared" si="19"/>
        <v>2.2612590060000013</v>
      </c>
      <c r="P250" s="4">
        <f t="shared" si="20"/>
        <v>0.90561729906162436</v>
      </c>
      <c r="Q250" s="4">
        <f t="shared" si="21"/>
        <v>1</v>
      </c>
      <c r="R250" s="4">
        <f t="shared" si="22"/>
        <v>0</v>
      </c>
      <c r="S250" s="4">
        <f t="shared" si="23"/>
        <v>0.90561729906162436</v>
      </c>
      <c r="T250" s="4">
        <f t="shared" si="24"/>
        <v>9.9138469394967288E-2</v>
      </c>
    </row>
    <row r="251" spans="1:20" x14ac:dyDescent="0.25">
      <c r="A251" s="4">
        <v>52</v>
      </c>
      <c r="B251" s="4">
        <v>1</v>
      </c>
      <c r="C251" s="4">
        <v>4</v>
      </c>
      <c r="D251" s="4">
        <v>125</v>
      </c>
      <c r="E251" s="4">
        <v>212</v>
      </c>
      <c r="F251" s="4">
        <v>0</v>
      </c>
      <c r="G251" s="4">
        <v>0</v>
      </c>
      <c r="H251" s="4">
        <v>168</v>
      </c>
      <c r="I251" s="4">
        <v>0</v>
      </c>
      <c r="J251" s="4">
        <v>1</v>
      </c>
      <c r="K251" s="4">
        <v>1</v>
      </c>
      <c r="L251" s="4">
        <v>2</v>
      </c>
      <c r="M251" s="4">
        <v>7</v>
      </c>
      <c r="N251" s="4">
        <v>1</v>
      </c>
      <c r="O251" s="4">
        <f t="shared" si="19"/>
        <v>1.860222885999999</v>
      </c>
      <c r="P251" s="4">
        <f t="shared" si="20"/>
        <v>0.86532292511035835</v>
      </c>
      <c r="Q251" s="4">
        <f t="shared" si="21"/>
        <v>1</v>
      </c>
      <c r="R251" s="4">
        <f t="shared" si="22"/>
        <v>0</v>
      </c>
      <c r="S251" s="4">
        <f t="shared" si="23"/>
        <v>0.86532292511035835</v>
      </c>
      <c r="T251" s="4">
        <f t="shared" si="24"/>
        <v>0.14465251789125513</v>
      </c>
    </row>
    <row r="252" spans="1:20" x14ac:dyDescent="0.25">
      <c r="A252" s="4">
        <v>62</v>
      </c>
      <c r="B252" s="4">
        <v>1</v>
      </c>
      <c r="C252" s="4">
        <v>2</v>
      </c>
      <c r="D252" s="4">
        <v>128</v>
      </c>
      <c r="E252" s="4">
        <v>208</v>
      </c>
      <c r="F252" s="4">
        <v>1</v>
      </c>
      <c r="G252" s="4">
        <v>2</v>
      </c>
      <c r="H252" s="4">
        <v>140</v>
      </c>
      <c r="I252" s="4">
        <v>0</v>
      </c>
      <c r="J252" s="4">
        <v>0</v>
      </c>
      <c r="K252" s="4">
        <v>1</v>
      </c>
      <c r="L252" s="4">
        <v>0</v>
      </c>
      <c r="M252" s="4">
        <v>3</v>
      </c>
      <c r="N252" s="4">
        <v>0</v>
      </c>
      <c r="O252" s="4">
        <f t="shared" si="19"/>
        <v>-3.4926765149999994</v>
      </c>
      <c r="P252" s="4">
        <f t="shared" si="20"/>
        <v>2.9521325876946222E-2</v>
      </c>
      <c r="Q252" s="4">
        <f t="shared" si="21"/>
        <v>0</v>
      </c>
      <c r="R252" s="4">
        <f t="shared" si="22"/>
        <v>0</v>
      </c>
      <c r="S252" s="4">
        <f t="shared" si="23"/>
        <v>0.97047867412305377</v>
      </c>
      <c r="T252" s="4">
        <f t="shared" si="24"/>
        <v>2.9965850727794698E-2</v>
      </c>
    </row>
    <row r="253" spans="1:20" x14ac:dyDescent="0.25">
      <c r="A253" s="4">
        <v>57</v>
      </c>
      <c r="B253" s="4">
        <v>1</v>
      </c>
      <c r="C253" s="4">
        <v>4</v>
      </c>
      <c r="D253" s="4">
        <v>110</v>
      </c>
      <c r="E253" s="4">
        <v>201</v>
      </c>
      <c r="F253" s="4">
        <v>0</v>
      </c>
      <c r="G253" s="4">
        <v>0</v>
      </c>
      <c r="H253" s="4">
        <v>126</v>
      </c>
      <c r="I253" s="4">
        <v>1</v>
      </c>
      <c r="J253" s="4">
        <v>1.5</v>
      </c>
      <c r="K253" s="4">
        <v>2</v>
      </c>
      <c r="L253" s="4">
        <v>0</v>
      </c>
      <c r="M253" s="4">
        <v>6</v>
      </c>
      <c r="N253" s="4">
        <v>0</v>
      </c>
      <c r="O253" s="4">
        <f t="shared" si="19"/>
        <v>0.98215527400000013</v>
      </c>
      <c r="P253" s="4">
        <f t="shared" si="20"/>
        <v>0.72753566042188234</v>
      </c>
      <c r="Q253" s="4">
        <f t="shared" si="21"/>
        <v>1</v>
      </c>
      <c r="R253" s="4">
        <f t="shared" si="22"/>
        <v>1</v>
      </c>
      <c r="S253" s="4">
        <f t="shared" si="23"/>
        <v>0.27246433957811766</v>
      </c>
      <c r="T253" s="4">
        <f t="shared" si="24"/>
        <v>1.3002475373757831</v>
      </c>
    </row>
    <row r="254" spans="1:20" x14ac:dyDescent="0.25">
      <c r="A254" s="4">
        <v>58</v>
      </c>
      <c r="B254" s="4">
        <v>1</v>
      </c>
      <c r="C254" s="4">
        <v>4</v>
      </c>
      <c r="D254" s="4">
        <v>146</v>
      </c>
      <c r="E254" s="4">
        <v>218</v>
      </c>
      <c r="F254" s="4">
        <v>0</v>
      </c>
      <c r="G254" s="4">
        <v>0</v>
      </c>
      <c r="H254" s="4">
        <v>105</v>
      </c>
      <c r="I254" s="4">
        <v>0</v>
      </c>
      <c r="J254" s="4">
        <v>2</v>
      </c>
      <c r="K254" s="4">
        <v>2</v>
      </c>
      <c r="L254" s="4">
        <v>1</v>
      </c>
      <c r="M254" s="4">
        <v>7</v>
      </c>
      <c r="N254" s="4">
        <v>1</v>
      </c>
      <c r="O254" s="4">
        <f t="shared" si="19"/>
        <v>3.1617001569999985</v>
      </c>
      <c r="P254" s="4">
        <f t="shared" si="20"/>
        <v>0.95936727323776261</v>
      </c>
      <c r="Q254" s="4">
        <f t="shared" si="21"/>
        <v>1</v>
      </c>
      <c r="R254" s="4">
        <f t="shared" si="22"/>
        <v>0</v>
      </c>
      <c r="S254" s="4">
        <f t="shared" si="23"/>
        <v>0.95936727323776261</v>
      </c>
      <c r="T254" s="4">
        <f t="shared" si="24"/>
        <v>4.1481302193132008E-2</v>
      </c>
    </row>
    <row r="255" spans="1:20" x14ac:dyDescent="0.25">
      <c r="A255" s="4">
        <v>64</v>
      </c>
      <c r="B255" s="4">
        <v>1</v>
      </c>
      <c r="C255" s="4">
        <v>4</v>
      </c>
      <c r="D255" s="4">
        <v>128</v>
      </c>
      <c r="E255" s="4">
        <v>263</v>
      </c>
      <c r="F255" s="4">
        <v>0</v>
      </c>
      <c r="G255" s="4">
        <v>0</v>
      </c>
      <c r="H255" s="4">
        <v>105</v>
      </c>
      <c r="I255" s="4">
        <v>1</v>
      </c>
      <c r="J255" s="4">
        <v>0.2</v>
      </c>
      <c r="K255" s="4">
        <v>2</v>
      </c>
      <c r="L255" s="4">
        <v>1</v>
      </c>
      <c r="M255" s="4">
        <v>7</v>
      </c>
      <c r="N255" s="4">
        <v>0</v>
      </c>
      <c r="O255" s="4">
        <f t="shared" si="19"/>
        <v>3.349556570599999</v>
      </c>
      <c r="P255" s="4">
        <f t="shared" si="20"/>
        <v>0.96609031217505992</v>
      </c>
      <c r="Q255" s="4">
        <f t="shared" si="21"/>
        <v>1</v>
      </c>
      <c r="R255" s="4">
        <f t="shared" si="22"/>
        <v>1</v>
      </c>
      <c r="S255" s="4">
        <f t="shared" si="23"/>
        <v>3.3909687824940082E-2</v>
      </c>
      <c r="T255" s="4">
        <f t="shared" si="24"/>
        <v>3.3840545288751667</v>
      </c>
    </row>
    <row r="256" spans="1:20" x14ac:dyDescent="0.25">
      <c r="A256" s="4">
        <v>51</v>
      </c>
      <c r="B256" s="4">
        <v>0</v>
      </c>
      <c r="C256" s="4">
        <v>3</v>
      </c>
      <c r="D256" s="4">
        <v>120</v>
      </c>
      <c r="E256" s="4">
        <v>295</v>
      </c>
      <c r="F256" s="4">
        <v>0</v>
      </c>
      <c r="G256" s="4">
        <v>2</v>
      </c>
      <c r="H256" s="4">
        <v>157</v>
      </c>
      <c r="I256" s="4">
        <v>0</v>
      </c>
      <c r="J256" s="4">
        <v>0.6</v>
      </c>
      <c r="K256" s="4">
        <v>1</v>
      </c>
      <c r="L256" s="4">
        <v>0</v>
      </c>
      <c r="M256" s="4">
        <v>3</v>
      </c>
      <c r="N256" s="4">
        <v>0</v>
      </c>
      <c r="O256" s="4">
        <f t="shared" si="19"/>
        <v>-3.0117830861999995</v>
      </c>
      <c r="P256" s="4">
        <f t="shared" si="20"/>
        <v>4.6896382453717814E-2</v>
      </c>
      <c r="Q256" s="4">
        <f t="shared" si="21"/>
        <v>0</v>
      </c>
      <c r="R256" s="4">
        <f t="shared" si="22"/>
        <v>0</v>
      </c>
      <c r="S256" s="4">
        <f t="shared" si="23"/>
        <v>0.95310361754628214</v>
      </c>
      <c r="T256" s="4">
        <f t="shared" si="24"/>
        <v>4.8031653487810008E-2</v>
      </c>
    </row>
    <row r="257" spans="1:20" x14ac:dyDescent="0.25">
      <c r="A257" s="4">
        <v>43</v>
      </c>
      <c r="B257" s="4">
        <v>1</v>
      </c>
      <c r="C257" s="4">
        <v>4</v>
      </c>
      <c r="D257" s="4">
        <v>115</v>
      </c>
      <c r="E257" s="4">
        <v>303</v>
      </c>
      <c r="F257" s="4">
        <v>0</v>
      </c>
      <c r="G257" s="4">
        <v>0</v>
      </c>
      <c r="H257" s="4">
        <v>181</v>
      </c>
      <c r="I257" s="4">
        <v>0</v>
      </c>
      <c r="J257" s="4">
        <v>1.2</v>
      </c>
      <c r="K257" s="4">
        <v>2</v>
      </c>
      <c r="L257" s="4">
        <v>0</v>
      </c>
      <c r="M257" s="4">
        <v>3</v>
      </c>
      <c r="N257" s="4">
        <v>0</v>
      </c>
      <c r="O257" s="4">
        <f t="shared" si="19"/>
        <v>-1.3584971143999987</v>
      </c>
      <c r="P257" s="4">
        <f t="shared" si="20"/>
        <v>0.20448466914487023</v>
      </c>
      <c r="Q257" s="4">
        <f t="shared" si="21"/>
        <v>0</v>
      </c>
      <c r="R257" s="4">
        <f t="shared" si="22"/>
        <v>0</v>
      </c>
      <c r="S257" s="4">
        <f t="shared" si="23"/>
        <v>0.79551533085512971</v>
      </c>
      <c r="T257" s="4">
        <f t="shared" si="24"/>
        <v>0.22876515941623304</v>
      </c>
    </row>
    <row r="258" spans="1:20" x14ac:dyDescent="0.25">
      <c r="A258" s="4">
        <v>42</v>
      </c>
      <c r="B258" s="4">
        <v>0</v>
      </c>
      <c r="C258" s="4">
        <v>3</v>
      </c>
      <c r="D258" s="4">
        <v>120</v>
      </c>
      <c r="E258" s="4">
        <v>209</v>
      </c>
      <c r="F258" s="4">
        <v>0</v>
      </c>
      <c r="G258" s="4">
        <v>0</v>
      </c>
      <c r="H258" s="4">
        <v>173</v>
      </c>
      <c r="I258" s="4">
        <v>0</v>
      </c>
      <c r="J258" s="4">
        <v>0</v>
      </c>
      <c r="K258" s="4">
        <v>2</v>
      </c>
      <c r="L258" s="4">
        <v>0</v>
      </c>
      <c r="M258" s="4">
        <v>3</v>
      </c>
      <c r="N258" s="4">
        <v>0</v>
      </c>
      <c r="O258" s="4">
        <f t="shared" si="19"/>
        <v>-3.713273826</v>
      </c>
      <c r="P258" s="4">
        <f t="shared" si="20"/>
        <v>2.3816456692532323E-2</v>
      </c>
      <c r="Q258" s="4">
        <f t="shared" si="21"/>
        <v>0</v>
      </c>
      <c r="R258" s="4">
        <f t="shared" si="22"/>
        <v>0</v>
      </c>
      <c r="S258" s="4">
        <f t="shared" si="23"/>
        <v>0.9761835433074677</v>
      </c>
      <c r="T258" s="4">
        <f t="shared" si="24"/>
        <v>2.4104653581995674E-2</v>
      </c>
    </row>
    <row r="259" spans="1:20" x14ac:dyDescent="0.25">
      <c r="A259" s="4">
        <v>67</v>
      </c>
      <c r="B259" s="4">
        <v>0</v>
      </c>
      <c r="C259" s="4">
        <v>4</v>
      </c>
      <c r="D259" s="4">
        <v>106</v>
      </c>
      <c r="E259" s="4">
        <v>223</v>
      </c>
      <c r="F259" s="4">
        <v>0</v>
      </c>
      <c r="G259" s="4">
        <v>0</v>
      </c>
      <c r="H259" s="4">
        <v>142</v>
      </c>
      <c r="I259" s="4">
        <v>0</v>
      </c>
      <c r="J259" s="4">
        <v>0.3</v>
      </c>
      <c r="K259" s="4">
        <v>1</v>
      </c>
      <c r="L259" s="4">
        <v>2</v>
      </c>
      <c r="M259" s="4">
        <v>3</v>
      </c>
      <c r="N259" s="4">
        <v>0</v>
      </c>
      <c r="O259" s="4">
        <f t="shared" si="19"/>
        <v>-1.0778486995999996</v>
      </c>
      <c r="P259" s="4">
        <f t="shared" si="20"/>
        <v>0.25391334613338506</v>
      </c>
      <c r="Q259" s="4">
        <f t="shared" si="21"/>
        <v>0</v>
      </c>
      <c r="R259" s="4">
        <f t="shared" si="22"/>
        <v>0</v>
      </c>
      <c r="S259" s="4">
        <f t="shared" si="23"/>
        <v>0.74608665386661488</v>
      </c>
      <c r="T259" s="4">
        <f t="shared" si="24"/>
        <v>0.29291352752605082</v>
      </c>
    </row>
    <row r="260" spans="1:20" x14ac:dyDescent="0.25">
      <c r="A260" s="4">
        <v>76</v>
      </c>
      <c r="B260" s="4">
        <v>0</v>
      </c>
      <c r="C260" s="4">
        <v>3</v>
      </c>
      <c r="D260" s="4">
        <v>140</v>
      </c>
      <c r="E260" s="4">
        <v>197</v>
      </c>
      <c r="F260" s="4">
        <v>0</v>
      </c>
      <c r="G260" s="4">
        <v>1</v>
      </c>
      <c r="H260" s="4">
        <v>116</v>
      </c>
      <c r="I260" s="4">
        <v>0</v>
      </c>
      <c r="J260" s="4">
        <v>1.1000000000000001</v>
      </c>
      <c r="K260" s="4">
        <v>2</v>
      </c>
      <c r="L260" s="4">
        <v>0</v>
      </c>
      <c r="M260" s="4">
        <v>3</v>
      </c>
      <c r="N260" s="4">
        <v>0</v>
      </c>
      <c r="O260" s="4">
        <f t="shared" si="19"/>
        <v>-2.0786539751999999</v>
      </c>
      <c r="P260" s="4">
        <f t="shared" si="20"/>
        <v>0.11118891928154064</v>
      </c>
      <c r="Q260" s="4">
        <f t="shared" si="21"/>
        <v>0</v>
      </c>
      <c r="R260" s="4">
        <f t="shared" si="22"/>
        <v>0</v>
      </c>
      <c r="S260" s="4">
        <f t="shared" si="23"/>
        <v>0.88881108071845938</v>
      </c>
      <c r="T260" s="4">
        <f t="shared" si="24"/>
        <v>0.11787057367945759</v>
      </c>
    </row>
    <row r="261" spans="1:20" x14ac:dyDescent="0.25">
      <c r="A261" s="4">
        <v>70</v>
      </c>
      <c r="B261" s="4">
        <v>1</v>
      </c>
      <c r="C261" s="4">
        <v>2</v>
      </c>
      <c r="D261" s="4">
        <v>156</v>
      </c>
      <c r="E261" s="4">
        <v>245</v>
      </c>
      <c r="F261" s="4">
        <v>0</v>
      </c>
      <c r="G261" s="4">
        <v>2</v>
      </c>
      <c r="H261" s="4">
        <v>143</v>
      </c>
      <c r="I261" s="4">
        <v>0</v>
      </c>
      <c r="J261" s="4">
        <v>0</v>
      </c>
      <c r="K261" s="4">
        <v>1</v>
      </c>
      <c r="L261" s="4">
        <v>0</v>
      </c>
      <c r="M261" s="4">
        <v>3</v>
      </c>
      <c r="N261" s="4">
        <v>0</v>
      </c>
      <c r="O261" s="4">
        <f t="shared" si="19"/>
        <v>-1.7879294190000001</v>
      </c>
      <c r="P261" s="4">
        <f t="shared" si="20"/>
        <v>0.14332677041709893</v>
      </c>
      <c r="Q261" s="4">
        <f t="shared" si="21"/>
        <v>0</v>
      </c>
      <c r="R261" s="4">
        <f t="shared" si="22"/>
        <v>0</v>
      </c>
      <c r="S261" s="4">
        <f t="shared" si="23"/>
        <v>0.85667322958290104</v>
      </c>
      <c r="T261" s="4">
        <f t="shared" si="24"/>
        <v>0.15469872879861324</v>
      </c>
    </row>
    <row r="262" spans="1:20" x14ac:dyDescent="0.25">
      <c r="A262" s="4">
        <v>57</v>
      </c>
      <c r="B262" s="4">
        <v>1</v>
      </c>
      <c r="C262" s="4">
        <v>2</v>
      </c>
      <c r="D262" s="4">
        <v>124</v>
      </c>
      <c r="E262" s="4">
        <v>261</v>
      </c>
      <c r="F262" s="4">
        <v>0</v>
      </c>
      <c r="G262" s="4">
        <v>0</v>
      </c>
      <c r="H262" s="4">
        <v>141</v>
      </c>
      <c r="I262" s="4">
        <v>0</v>
      </c>
      <c r="J262" s="4">
        <v>0.3</v>
      </c>
      <c r="K262" s="4">
        <v>1</v>
      </c>
      <c r="L262" s="4">
        <v>0</v>
      </c>
      <c r="M262" s="4">
        <v>7</v>
      </c>
      <c r="N262" s="4">
        <v>1</v>
      </c>
      <c r="O262" s="4">
        <f t="shared" si="19"/>
        <v>-1.2923636225999999</v>
      </c>
      <c r="P262" s="4">
        <f t="shared" si="20"/>
        <v>0.2154530118729463</v>
      </c>
      <c r="Q262" s="4">
        <f t="shared" si="21"/>
        <v>0</v>
      </c>
      <c r="R262" s="4">
        <f t="shared" si="22"/>
        <v>1</v>
      </c>
      <c r="S262" s="4">
        <f t="shared" si="23"/>
        <v>0.2154530118729463</v>
      </c>
      <c r="T262" s="4">
        <f t="shared" si="24"/>
        <v>1.5350124355659418</v>
      </c>
    </row>
    <row r="263" spans="1:20" x14ac:dyDescent="0.25">
      <c r="A263" s="4">
        <v>44</v>
      </c>
      <c r="B263" s="4">
        <v>0</v>
      </c>
      <c r="C263" s="4">
        <v>3</v>
      </c>
      <c r="D263" s="4">
        <v>118</v>
      </c>
      <c r="E263" s="4">
        <v>242</v>
      </c>
      <c r="F263" s="4">
        <v>0</v>
      </c>
      <c r="G263" s="4">
        <v>0</v>
      </c>
      <c r="H263" s="4">
        <v>149</v>
      </c>
      <c r="I263" s="4">
        <v>0</v>
      </c>
      <c r="J263" s="4">
        <v>0.3</v>
      </c>
      <c r="K263" s="4">
        <v>2</v>
      </c>
      <c r="L263" s="4">
        <v>1</v>
      </c>
      <c r="M263" s="4">
        <v>3</v>
      </c>
      <c r="N263" s="4">
        <v>0</v>
      </c>
      <c r="O263" s="4">
        <f t="shared" ref="O263:O302" si="25">SUMPRODUCT(A$4:M$4, A263:M263)+N$4</f>
        <v>-1.7869613846000005</v>
      </c>
      <c r="P263" s="4">
        <f t="shared" ref="P263:P302" si="26">1/(1+EXP(0-O263))</f>
        <v>0.1434456707972227</v>
      </c>
      <c r="Q263" s="4">
        <f t="shared" ref="Q263:Q302" si="27">IF(P263&lt;=0.5, 0, 1)</f>
        <v>0</v>
      </c>
      <c r="R263" s="4">
        <f t="shared" ref="R263:R302" si="28">IF(N263=Q263, 0, 1)</f>
        <v>0</v>
      </c>
      <c r="S263" s="4">
        <f t="shared" ref="S263:S302" si="29">IF(N263=1, P263, 1-P263)</f>
        <v>0.8565543292027773</v>
      </c>
      <c r="T263" s="4">
        <f t="shared" ref="T263:T302" si="30">IF(S263=0, 1000000, -LN(S263))</f>
        <v>0.15483753158602451</v>
      </c>
    </row>
    <row r="264" spans="1:20" x14ac:dyDescent="0.25">
      <c r="A264" s="4">
        <v>58</v>
      </c>
      <c r="B264" s="4">
        <v>0</v>
      </c>
      <c r="C264" s="4">
        <v>2</v>
      </c>
      <c r="D264" s="4">
        <v>136</v>
      </c>
      <c r="E264" s="4">
        <v>319</v>
      </c>
      <c r="F264" s="4">
        <v>1</v>
      </c>
      <c r="G264" s="4">
        <v>2</v>
      </c>
      <c r="H264" s="4">
        <v>152</v>
      </c>
      <c r="I264" s="4">
        <v>0</v>
      </c>
      <c r="J264" s="4">
        <v>0</v>
      </c>
      <c r="K264" s="4">
        <v>1</v>
      </c>
      <c r="L264" s="4">
        <v>2</v>
      </c>
      <c r="M264" s="4">
        <v>3</v>
      </c>
      <c r="N264" s="4">
        <v>1</v>
      </c>
      <c r="O264" s="4">
        <f t="shared" si="25"/>
        <v>-1.713820264999999</v>
      </c>
      <c r="P264" s="4">
        <f t="shared" si="26"/>
        <v>0.15266886613299049</v>
      </c>
      <c r="Q264" s="4">
        <f t="shared" si="27"/>
        <v>0</v>
      </c>
      <c r="R264" s="4">
        <f t="shared" si="28"/>
        <v>1</v>
      </c>
      <c r="S264" s="4">
        <f t="shared" si="29"/>
        <v>0.15266886613299049</v>
      </c>
      <c r="T264" s="4">
        <f t="shared" si="30"/>
        <v>1.8794839766551874</v>
      </c>
    </row>
    <row r="265" spans="1:20" x14ac:dyDescent="0.25">
      <c r="A265" s="4">
        <v>60</v>
      </c>
      <c r="B265" s="4">
        <v>0</v>
      </c>
      <c r="C265" s="4">
        <v>1</v>
      </c>
      <c r="D265" s="4">
        <v>150</v>
      </c>
      <c r="E265" s="4">
        <v>240</v>
      </c>
      <c r="F265" s="4">
        <v>0</v>
      </c>
      <c r="G265" s="4">
        <v>0</v>
      </c>
      <c r="H265" s="4">
        <v>171</v>
      </c>
      <c r="I265" s="4">
        <v>0</v>
      </c>
      <c r="J265" s="4">
        <v>0.9</v>
      </c>
      <c r="K265" s="4">
        <v>1</v>
      </c>
      <c r="L265" s="4">
        <v>0</v>
      </c>
      <c r="M265" s="4">
        <v>3</v>
      </c>
      <c r="N265" s="4">
        <v>0</v>
      </c>
      <c r="O265" s="4">
        <f t="shared" si="25"/>
        <v>-4.5498532637999993</v>
      </c>
      <c r="P265" s="4">
        <f t="shared" si="26"/>
        <v>1.0458224673794611E-2</v>
      </c>
      <c r="Q265" s="4">
        <f t="shared" si="27"/>
        <v>0</v>
      </c>
      <c r="R265" s="4">
        <f t="shared" si="28"/>
        <v>0</v>
      </c>
      <c r="S265" s="4">
        <f t="shared" si="29"/>
        <v>0.98954177532620535</v>
      </c>
      <c r="T265" s="4">
        <f t="shared" si="30"/>
        <v>1.0513296208964008E-2</v>
      </c>
    </row>
    <row r="266" spans="1:20" x14ac:dyDescent="0.25">
      <c r="A266" s="4">
        <v>44</v>
      </c>
      <c r="B266" s="4">
        <v>1</v>
      </c>
      <c r="C266" s="4">
        <v>3</v>
      </c>
      <c r="D266" s="4">
        <v>120</v>
      </c>
      <c r="E266" s="4">
        <v>226</v>
      </c>
      <c r="F266" s="4">
        <v>0</v>
      </c>
      <c r="G266" s="4">
        <v>0</v>
      </c>
      <c r="H266" s="4">
        <v>169</v>
      </c>
      <c r="I266" s="4">
        <v>0</v>
      </c>
      <c r="J266" s="4">
        <v>0</v>
      </c>
      <c r="K266" s="4">
        <v>1</v>
      </c>
      <c r="L266" s="4">
        <v>0</v>
      </c>
      <c r="M266" s="4">
        <v>3</v>
      </c>
      <c r="N266" s="4">
        <v>0</v>
      </c>
      <c r="O266" s="4">
        <f t="shared" si="25"/>
        <v>-2.8319364369999995</v>
      </c>
      <c r="P266" s="4">
        <f t="shared" si="26"/>
        <v>5.562259180021073E-2</v>
      </c>
      <c r="Q266" s="4">
        <f t="shared" si="27"/>
        <v>0</v>
      </c>
      <c r="R266" s="4">
        <f t="shared" si="28"/>
        <v>0</v>
      </c>
      <c r="S266" s="4">
        <f t="shared" si="29"/>
        <v>0.94437740819978933</v>
      </c>
      <c r="T266" s="4">
        <f t="shared" si="30"/>
        <v>5.7229395912280545E-2</v>
      </c>
    </row>
    <row r="267" spans="1:20" x14ac:dyDescent="0.25">
      <c r="A267" s="4">
        <v>61</v>
      </c>
      <c r="B267" s="4">
        <v>1</v>
      </c>
      <c r="C267" s="4">
        <v>4</v>
      </c>
      <c r="D267" s="4">
        <v>138</v>
      </c>
      <c r="E267" s="4">
        <v>166</v>
      </c>
      <c r="F267" s="4">
        <v>0</v>
      </c>
      <c r="G267" s="4">
        <v>2</v>
      </c>
      <c r="H267" s="4">
        <v>125</v>
      </c>
      <c r="I267" s="4">
        <v>1</v>
      </c>
      <c r="J267" s="4">
        <v>3.6</v>
      </c>
      <c r="K267" s="4">
        <v>2</v>
      </c>
      <c r="L267" s="4">
        <v>1</v>
      </c>
      <c r="M267" s="4">
        <v>3</v>
      </c>
      <c r="N267" s="4">
        <v>1</v>
      </c>
      <c r="O267" s="4">
        <f t="shared" si="25"/>
        <v>2.6903133618000012</v>
      </c>
      <c r="P267" s="4">
        <f t="shared" si="26"/>
        <v>0.93645263209423923</v>
      </c>
      <c r="Q267" s="4">
        <f t="shared" si="27"/>
        <v>1</v>
      </c>
      <c r="R267" s="4">
        <f t="shared" si="28"/>
        <v>0</v>
      </c>
      <c r="S267" s="4">
        <f t="shared" si="29"/>
        <v>0.93645263209423923</v>
      </c>
      <c r="T267" s="4">
        <f t="shared" si="30"/>
        <v>6.5656338095034766E-2</v>
      </c>
    </row>
    <row r="268" spans="1:20" x14ac:dyDescent="0.25">
      <c r="A268" s="4">
        <v>42</v>
      </c>
      <c r="B268" s="4">
        <v>1</v>
      </c>
      <c r="C268" s="4">
        <v>4</v>
      </c>
      <c r="D268" s="4">
        <v>136</v>
      </c>
      <c r="E268" s="4">
        <v>315</v>
      </c>
      <c r="F268" s="4">
        <v>0</v>
      </c>
      <c r="G268" s="4">
        <v>0</v>
      </c>
      <c r="H268" s="4">
        <v>125</v>
      </c>
      <c r="I268" s="4">
        <v>1</v>
      </c>
      <c r="J268" s="4">
        <v>1.8</v>
      </c>
      <c r="K268" s="4">
        <v>2</v>
      </c>
      <c r="L268" s="4">
        <v>0</v>
      </c>
      <c r="M268" s="4">
        <v>6</v>
      </c>
      <c r="N268" s="4">
        <v>1</v>
      </c>
      <c r="O268" s="4">
        <f t="shared" si="25"/>
        <v>2.4840836354000011</v>
      </c>
      <c r="P268" s="4">
        <f t="shared" si="26"/>
        <v>0.92301846383335262</v>
      </c>
      <c r="Q268" s="4">
        <f t="shared" si="27"/>
        <v>1</v>
      </c>
      <c r="R268" s="4">
        <f t="shared" si="28"/>
        <v>0</v>
      </c>
      <c r="S268" s="4">
        <f t="shared" si="29"/>
        <v>0.92301846383335262</v>
      </c>
      <c r="T268" s="4">
        <f t="shared" si="30"/>
        <v>8.0106040526220529E-2</v>
      </c>
    </row>
    <row r="269" spans="1:20" x14ac:dyDescent="0.25">
      <c r="A269" s="4">
        <v>59</v>
      </c>
      <c r="B269" s="4">
        <v>1</v>
      </c>
      <c r="C269" s="4">
        <v>3</v>
      </c>
      <c r="D269" s="4">
        <v>126</v>
      </c>
      <c r="E269" s="4">
        <v>218</v>
      </c>
      <c r="F269" s="4">
        <v>1</v>
      </c>
      <c r="G269" s="4">
        <v>0</v>
      </c>
      <c r="H269" s="4">
        <v>134</v>
      </c>
      <c r="I269" s="4">
        <v>0</v>
      </c>
      <c r="J269" s="4">
        <v>2.2000000000000002</v>
      </c>
      <c r="K269" s="4">
        <v>2</v>
      </c>
      <c r="L269" s="4">
        <v>1</v>
      </c>
      <c r="M269" s="4">
        <v>6</v>
      </c>
      <c r="N269" s="4">
        <v>1</v>
      </c>
      <c r="O269" s="4">
        <f t="shared" si="25"/>
        <v>0.17508124760000054</v>
      </c>
      <c r="P269" s="4">
        <f t="shared" si="26"/>
        <v>0.54365884434294987</v>
      </c>
      <c r="Q269" s="4">
        <f t="shared" si="27"/>
        <v>1</v>
      </c>
      <c r="R269" s="4">
        <f t="shared" si="28"/>
        <v>0</v>
      </c>
      <c r="S269" s="4">
        <f t="shared" si="29"/>
        <v>0.54365884434294987</v>
      </c>
      <c r="T269" s="4">
        <f t="shared" si="30"/>
        <v>0.60943335322051084</v>
      </c>
    </row>
    <row r="270" spans="1:20" x14ac:dyDescent="0.25">
      <c r="A270" s="4">
        <v>40</v>
      </c>
      <c r="B270" s="4">
        <v>1</v>
      </c>
      <c r="C270" s="4">
        <v>4</v>
      </c>
      <c r="D270" s="4">
        <v>152</v>
      </c>
      <c r="E270" s="4">
        <v>223</v>
      </c>
      <c r="F270" s="4">
        <v>0</v>
      </c>
      <c r="G270" s="4">
        <v>0</v>
      </c>
      <c r="H270" s="4">
        <v>181</v>
      </c>
      <c r="I270" s="4">
        <v>0</v>
      </c>
      <c r="J270" s="4">
        <v>0</v>
      </c>
      <c r="K270" s="4">
        <v>1</v>
      </c>
      <c r="L270" s="4">
        <v>0</v>
      </c>
      <c r="M270" s="4">
        <v>7</v>
      </c>
      <c r="N270" s="4">
        <v>1</v>
      </c>
      <c r="O270" s="4">
        <f t="shared" si="25"/>
        <v>-0.31715891099999993</v>
      </c>
      <c r="P270" s="4">
        <f t="shared" si="26"/>
        <v>0.4213682986243022</v>
      </c>
      <c r="Q270" s="4">
        <f t="shared" si="27"/>
        <v>0</v>
      </c>
      <c r="R270" s="4">
        <f t="shared" si="28"/>
        <v>1</v>
      </c>
      <c r="S270" s="4">
        <f t="shared" si="29"/>
        <v>0.4213682986243022</v>
      </c>
      <c r="T270" s="4">
        <f t="shared" si="30"/>
        <v>0.86424800914547106</v>
      </c>
    </row>
    <row r="271" spans="1:20" x14ac:dyDescent="0.25">
      <c r="A271" s="4">
        <v>42</v>
      </c>
      <c r="B271" s="4">
        <v>1</v>
      </c>
      <c r="C271" s="4">
        <v>3</v>
      </c>
      <c r="D271" s="4">
        <v>130</v>
      </c>
      <c r="E271" s="4">
        <v>180</v>
      </c>
      <c r="F271" s="4">
        <v>0</v>
      </c>
      <c r="G271" s="4">
        <v>0</v>
      </c>
      <c r="H271" s="4">
        <v>150</v>
      </c>
      <c r="I271" s="4">
        <v>0</v>
      </c>
      <c r="J271" s="4">
        <v>0</v>
      </c>
      <c r="K271" s="4">
        <v>1</v>
      </c>
      <c r="L271" s="4">
        <v>0</v>
      </c>
      <c r="M271" s="4">
        <v>3</v>
      </c>
      <c r="N271" s="4">
        <v>0</v>
      </c>
      <c r="O271" s="4">
        <f t="shared" si="25"/>
        <v>-2.4003478299999994</v>
      </c>
      <c r="P271" s="4">
        <f t="shared" si="26"/>
        <v>8.3146176562862883E-2</v>
      </c>
      <c r="Q271" s="4">
        <f t="shared" si="27"/>
        <v>0</v>
      </c>
      <c r="R271" s="4">
        <f t="shared" si="28"/>
        <v>0</v>
      </c>
      <c r="S271" s="4">
        <f t="shared" si="29"/>
        <v>0.91685382343713706</v>
      </c>
      <c r="T271" s="4">
        <f t="shared" si="30"/>
        <v>8.6807226807365023E-2</v>
      </c>
    </row>
    <row r="272" spans="1:20" x14ac:dyDescent="0.25">
      <c r="A272" s="4">
        <v>61</v>
      </c>
      <c r="B272" s="4">
        <v>1</v>
      </c>
      <c r="C272" s="4">
        <v>4</v>
      </c>
      <c r="D272" s="4">
        <v>140</v>
      </c>
      <c r="E272" s="4">
        <v>207</v>
      </c>
      <c r="F272" s="4">
        <v>0</v>
      </c>
      <c r="G272" s="4">
        <v>2</v>
      </c>
      <c r="H272" s="4">
        <v>138</v>
      </c>
      <c r="I272" s="4">
        <v>1</v>
      </c>
      <c r="J272" s="4">
        <v>1.9</v>
      </c>
      <c r="K272" s="4">
        <v>1</v>
      </c>
      <c r="L272" s="4">
        <v>1</v>
      </c>
      <c r="M272" s="4">
        <v>7</v>
      </c>
      <c r="N272" s="4">
        <v>1</v>
      </c>
      <c r="O272" s="4">
        <f t="shared" si="25"/>
        <v>3.0597389002000011</v>
      </c>
      <c r="P272" s="4">
        <f t="shared" si="26"/>
        <v>0.9552011253122541</v>
      </c>
      <c r="Q272" s="4">
        <f t="shared" si="27"/>
        <v>1</v>
      </c>
      <c r="R272" s="4">
        <f t="shared" si="28"/>
        <v>0</v>
      </c>
      <c r="S272" s="4">
        <f t="shared" si="29"/>
        <v>0.9552011253122541</v>
      </c>
      <c r="T272" s="4">
        <f t="shared" si="30"/>
        <v>4.5833358253775089E-2</v>
      </c>
    </row>
    <row r="273" spans="1:20" x14ac:dyDescent="0.25">
      <c r="A273" s="4">
        <v>66</v>
      </c>
      <c r="B273" s="4">
        <v>1</v>
      </c>
      <c r="C273" s="4">
        <v>4</v>
      </c>
      <c r="D273" s="4">
        <v>160</v>
      </c>
      <c r="E273" s="4">
        <v>228</v>
      </c>
      <c r="F273" s="4">
        <v>0</v>
      </c>
      <c r="G273" s="4">
        <v>2</v>
      </c>
      <c r="H273" s="4">
        <v>138</v>
      </c>
      <c r="I273" s="4">
        <v>0</v>
      </c>
      <c r="J273" s="4">
        <v>2.2999999999999998</v>
      </c>
      <c r="K273" s="4">
        <v>1</v>
      </c>
      <c r="L273" s="4">
        <v>0</v>
      </c>
      <c r="M273" s="4">
        <v>6</v>
      </c>
      <c r="N273" s="4">
        <v>0</v>
      </c>
      <c r="O273" s="4">
        <f t="shared" si="25"/>
        <v>1.1359140194000013</v>
      </c>
      <c r="P273" s="4">
        <f t="shared" si="26"/>
        <v>0.75692865840434775</v>
      </c>
      <c r="Q273" s="4">
        <f t="shared" si="27"/>
        <v>1</v>
      </c>
      <c r="R273" s="4">
        <f t="shared" si="28"/>
        <v>1</v>
      </c>
      <c r="S273" s="4">
        <f t="shared" si="29"/>
        <v>0.24307134159565225</v>
      </c>
      <c r="T273" s="4">
        <f t="shared" si="30"/>
        <v>1.4144002919163801</v>
      </c>
    </row>
    <row r="274" spans="1:20" x14ac:dyDescent="0.25">
      <c r="A274" s="4">
        <v>46</v>
      </c>
      <c r="B274" s="4">
        <v>1</v>
      </c>
      <c r="C274" s="4">
        <v>4</v>
      </c>
      <c r="D274" s="4">
        <v>140</v>
      </c>
      <c r="E274" s="4">
        <v>311</v>
      </c>
      <c r="F274" s="4">
        <v>0</v>
      </c>
      <c r="G274" s="4">
        <v>0</v>
      </c>
      <c r="H274" s="4">
        <v>120</v>
      </c>
      <c r="I274" s="4">
        <v>1</v>
      </c>
      <c r="J274" s="4">
        <v>1.8</v>
      </c>
      <c r="K274" s="4">
        <v>2</v>
      </c>
      <c r="L274" s="4">
        <v>2</v>
      </c>
      <c r="M274" s="4">
        <v>7</v>
      </c>
      <c r="N274" s="4">
        <v>1</v>
      </c>
      <c r="O274" s="4">
        <f t="shared" si="25"/>
        <v>5.486338807400001</v>
      </c>
      <c r="P274" s="4">
        <f t="shared" si="26"/>
        <v>0.99587410879805915</v>
      </c>
      <c r="Q274" s="4">
        <f t="shared" si="27"/>
        <v>1</v>
      </c>
      <c r="R274" s="4">
        <f t="shared" si="28"/>
        <v>0</v>
      </c>
      <c r="S274" s="4">
        <f t="shared" si="29"/>
        <v>0.99587410879805915</v>
      </c>
      <c r="T274" s="4">
        <f t="shared" si="30"/>
        <v>4.1344261753833754E-3</v>
      </c>
    </row>
    <row r="275" spans="1:20" x14ac:dyDescent="0.25">
      <c r="A275" s="4">
        <v>71</v>
      </c>
      <c r="B275" s="4">
        <v>0</v>
      </c>
      <c r="C275" s="4">
        <v>4</v>
      </c>
      <c r="D275" s="4">
        <v>112</v>
      </c>
      <c r="E275" s="4">
        <v>149</v>
      </c>
      <c r="F275" s="4">
        <v>0</v>
      </c>
      <c r="G275" s="4">
        <v>0</v>
      </c>
      <c r="H275" s="4">
        <v>125</v>
      </c>
      <c r="I275" s="4">
        <v>0</v>
      </c>
      <c r="J275" s="4">
        <v>1.6</v>
      </c>
      <c r="K275" s="4">
        <v>2</v>
      </c>
      <c r="L275" s="4">
        <v>0</v>
      </c>
      <c r="M275" s="4">
        <v>3</v>
      </c>
      <c r="N275" s="4">
        <v>0</v>
      </c>
      <c r="O275" s="4">
        <f t="shared" si="25"/>
        <v>-2.6524051972000002</v>
      </c>
      <c r="P275" s="4">
        <f t="shared" si="26"/>
        <v>6.5840921118500553E-2</v>
      </c>
      <c r="Q275" s="4">
        <f t="shared" si="27"/>
        <v>0</v>
      </c>
      <c r="R275" s="4">
        <f t="shared" si="28"/>
        <v>0</v>
      </c>
      <c r="S275" s="4">
        <f t="shared" si="29"/>
        <v>0.93415907888149941</v>
      </c>
      <c r="T275" s="4">
        <f t="shared" si="30"/>
        <v>6.8108535254493827E-2</v>
      </c>
    </row>
    <row r="276" spans="1:20" x14ac:dyDescent="0.25">
      <c r="A276" s="4">
        <v>59</v>
      </c>
      <c r="B276" s="4">
        <v>1</v>
      </c>
      <c r="C276" s="4">
        <v>1</v>
      </c>
      <c r="D276" s="4">
        <v>134</v>
      </c>
      <c r="E276" s="4">
        <v>204</v>
      </c>
      <c r="F276" s="4">
        <v>0</v>
      </c>
      <c r="G276" s="4">
        <v>0</v>
      </c>
      <c r="H276" s="4">
        <v>162</v>
      </c>
      <c r="I276" s="4">
        <v>0</v>
      </c>
      <c r="J276" s="4">
        <v>0.8</v>
      </c>
      <c r="K276" s="4">
        <v>1</v>
      </c>
      <c r="L276" s="4">
        <v>2</v>
      </c>
      <c r="M276" s="4">
        <v>3</v>
      </c>
      <c r="N276" s="4">
        <v>1</v>
      </c>
      <c r="O276" s="4">
        <f t="shared" si="25"/>
        <v>-1.0914478136000003</v>
      </c>
      <c r="P276" s="4">
        <f t="shared" si="26"/>
        <v>0.2513457437056969</v>
      </c>
      <c r="Q276" s="4">
        <f t="shared" si="27"/>
        <v>0</v>
      </c>
      <c r="R276" s="4">
        <f t="shared" si="28"/>
        <v>1</v>
      </c>
      <c r="S276" s="4">
        <f t="shared" si="29"/>
        <v>0.2513457437056969</v>
      </c>
      <c r="T276" s="4">
        <f t="shared" si="30"/>
        <v>1.3809258227219732</v>
      </c>
    </row>
    <row r="277" spans="1:20" x14ac:dyDescent="0.25">
      <c r="A277" s="4">
        <v>64</v>
      </c>
      <c r="B277" s="4">
        <v>1</v>
      </c>
      <c r="C277" s="4">
        <v>1</v>
      </c>
      <c r="D277" s="4">
        <v>170</v>
      </c>
      <c r="E277" s="4">
        <v>227</v>
      </c>
      <c r="F277" s="4">
        <v>0</v>
      </c>
      <c r="G277" s="4">
        <v>2</v>
      </c>
      <c r="H277" s="4">
        <v>155</v>
      </c>
      <c r="I277" s="4">
        <v>0</v>
      </c>
      <c r="J277" s="4">
        <v>0.6</v>
      </c>
      <c r="K277" s="4">
        <v>2</v>
      </c>
      <c r="L277" s="4">
        <v>0</v>
      </c>
      <c r="M277" s="4">
        <v>7</v>
      </c>
      <c r="N277" s="4">
        <v>0</v>
      </c>
      <c r="O277" s="4">
        <f t="shared" si="25"/>
        <v>-0.18592983919999995</v>
      </c>
      <c r="P277" s="4">
        <f t="shared" si="26"/>
        <v>0.45365098674755727</v>
      </c>
      <c r="Q277" s="4">
        <f t="shared" si="27"/>
        <v>0</v>
      </c>
      <c r="R277" s="4">
        <f t="shared" si="28"/>
        <v>0</v>
      </c>
      <c r="S277" s="4">
        <f t="shared" si="29"/>
        <v>0.54634901325244267</v>
      </c>
      <c r="T277" s="4">
        <f t="shared" si="30"/>
        <v>0.6044972890392335</v>
      </c>
    </row>
    <row r="278" spans="1:20" x14ac:dyDescent="0.25">
      <c r="A278" s="4">
        <v>66</v>
      </c>
      <c r="B278" s="4">
        <v>0</v>
      </c>
      <c r="C278" s="4">
        <v>3</v>
      </c>
      <c r="D278" s="4">
        <v>146</v>
      </c>
      <c r="E278" s="4">
        <v>278</v>
      </c>
      <c r="F278" s="4">
        <v>0</v>
      </c>
      <c r="G278" s="4">
        <v>2</v>
      </c>
      <c r="H278" s="4">
        <v>152</v>
      </c>
      <c r="I278" s="4">
        <v>0</v>
      </c>
      <c r="J278" s="4">
        <v>0</v>
      </c>
      <c r="K278" s="4">
        <v>2</v>
      </c>
      <c r="L278" s="4">
        <v>1</v>
      </c>
      <c r="M278" s="4">
        <v>3</v>
      </c>
      <c r="N278" s="4">
        <v>0</v>
      </c>
      <c r="O278" s="4">
        <f t="shared" si="25"/>
        <v>-0.89130039399999994</v>
      </c>
      <c r="P278" s="4">
        <f t="shared" si="26"/>
        <v>0.29084154467557188</v>
      </c>
      <c r="Q278" s="4">
        <f t="shared" si="27"/>
        <v>0</v>
      </c>
      <c r="R278" s="4">
        <f t="shared" si="28"/>
        <v>0</v>
      </c>
      <c r="S278" s="4">
        <f t="shared" si="29"/>
        <v>0.70915845532442812</v>
      </c>
      <c r="T278" s="4">
        <f t="shared" si="30"/>
        <v>0.34367628613072398</v>
      </c>
    </row>
    <row r="279" spans="1:20" x14ac:dyDescent="0.25">
      <c r="A279" s="4">
        <v>39</v>
      </c>
      <c r="B279" s="4">
        <v>0</v>
      </c>
      <c r="C279" s="4">
        <v>3</v>
      </c>
      <c r="D279" s="4">
        <v>138</v>
      </c>
      <c r="E279" s="4">
        <v>220</v>
      </c>
      <c r="F279" s="4">
        <v>0</v>
      </c>
      <c r="G279" s="4">
        <v>0</v>
      </c>
      <c r="H279" s="4">
        <v>152</v>
      </c>
      <c r="I279" s="4">
        <v>0</v>
      </c>
      <c r="J279" s="4">
        <v>0</v>
      </c>
      <c r="K279" s="4">
        <v>2</v>
      </c>
      <c r="L279" s="4">
        <v>0</v>
      </c>
      <c r="M279" s="4">
        <v>3</v>
      </c>
      <c r="N279" s="4">
        <v>0</v>
      </c>
      <c r="O279" s="4">
        <f t="shared" si="25"/>
        <v>-2.7490974029999995</v>
      </c>
      <c r="P279" s="4">
        <f t="shared" si="26"/>
        <v>6.0137645708047978E-2</v>
      </c>
      <c r="Q279" s="4">
        <f t="shared" si="27"/>
        <v>0</v>
      </c>
      <c r="R279" s="4">
        <f t="shared" si="28"/>
        <v>0</v>
      </c>
      <c r="S279" s="4">
        <f t="shared" si="29"/>
        <v>0.93986235429195197</v>
      </c>
      <c r="T279" s="4">
        <f t="shared" si="30"/>
        <v>6.2021846044547975E-2</v>
      </c>
    </row>
    <row r="280" spans="1:20" x14ac:dyDescent="0.25">
      <c r="A280" s="4">
        <v>57</v>
      </c>
      <c r="B280" s="4">
        <v>1</v>
      </c>
      <c r="C280" s="4">
        <v>2</v>
      </c>
      <c r="D280" s="4">
        <v>154</v>
      </c>
      <c r="E280" s="4">
        <v>232</v>
      </c>
      <c r="F280" s="4">
        <v>0</v>
      </c>
      <c r="G280" s="4">
        <v>2</v>
      </c>
      <c r="H280" s="4">
        <v>164</v>
      </c>
      <c r="I280" s="4">
        <v>0</v>
      </c>
      <c r="J280" s="4">
        <v>0</v>
      </c>
      <c r="K280" s="4">
        <v>1</v>
      </c>
      <c r="L280" s="4">
        <v>1</v>
      </c>
      <c r="M280" s="4">
        <v>3</v>
      </c>
      <c r="N280" s="4">
        <v>1</v>
      </c>
      <c r="O280" s="4">
        <f t="shared" si="25"/>
        <v>-0.88309795099999899</v>
      </c>
      <c r="P280" s="4">
        <f t="shared" si="26"/>
        <v>0.2925362189227948</v>
      </c>
      <c r="Q280" s="4">
        <f t="shared" si="27"/>
        <v>0</v>
      </c>
      <c r="R280" s="4">
        <f t="shared" si="28"/>
        <v>1</v>
      </c>
      <c r="S280" s="4">
        <f t="shared" si="29"/>
        <v>0.2925362189227948</v>
      </c>
      <c r="T280" s="4">
        <f t="shared" si="30"/>
        <v>1.2291667945988789</v>
      </c>
    </row>
    <row r="281" spans="1:20" x14ac:dyDescent="0.25">
      <c r="A281" s="4">
        <v>58</v>
      </c>
      <c r="B281" s="4">
        <v>0</v>
      </c>
      <c r="C281" s="4">
        <v>4</v>
      </c>
      <c r="D281" s="4">
        <v>130</v>
      </c>
      <c r="E281" s="4">
        <v>197</v>
      </c>
      <c r="F281" s="4">
        <v>0</v>
      </c>
      <c r="G281" s="4">
        <v>0</v>
      </c>
      <c r="H281" s="4">
        <v>131</v>
      </c>
      <c r="I281" s="4">
        <v>0</v>
      </c>
      <c r="J281" s="4">
        <v>0.6</v>
      </c>
      <c r="K281" s="4">
        <v>2</v>
      </c>
      <c r="L281" s="4">
        <v>0</v>
      </c>
      <c r="M281" s="4">
        <v>3</v>
      </c>
      <c r="N281" s="4">
        <v>0</v>
      </c>
      <c r="O281" s="4">
        <f t="shared" si="25"/>
        <v>-2.1671048951999987</v>
      </c>
      <c r="P281" s="4">
        <f t="shared" si="26"/>
        <v>0.1027436187487502</v>
      </c>
      <c r="Q281" s="4">
        <f t="shared" si="27"/>
        <v>0</v>
      </c>
      <c r="R281" s="4">
        <f t="shared" si="28"/>
        <v>0</v>
      </c>
      <c r="S281" s="4">
        <f t="shared" si="29"/>
        <v>0.89725638125124985</v>
      </c>
      <c r="T281" s="4">
        <f t="shared" si="30"/>
        <v>0.10841363696940153</v>
      </c>
    </row>
    <row r="282" spans="1:20" x14ac:dyDescent="0.25">
      <c r="A282" s="4">
        <v>57</v>
      </c>
      <c r="B282" s="4">
        <v>1</v>
      </c>
      <c r="C282" s="4">
        <v>4</v>
      </c>
      <c r="D282" s="4">
        <v>110</v>
      </c>
      <c r="E282" s="4">
        <v>335</v>
      </c>
      <c r="F282" s="4">
        <v>0</v>
      </c>
      <c r="G282" s="4">
        <v>0</v>
      </c>
      <c r="H282" s="4">
        <v>143</v>
      </c>
      <c r="I282" s="4">
        <v>1</v>
      </c>
      <c r="J282" s="4">
        <v>3</v>
      </c>
      <c r="K282" s="4">
        <v>2</v>
      </c>
      <c r="L282" s="4">
        <v>1</v>
      </c>
      <c r="M282" s="4">
        <v>7</v>
      </c>
      <c r="N282" s="4">
        <v>1</v>
      </c>
      <c r="O282" s="4">
        <f t="shared" si="25"/>
        <v>3.2830003630000011</v>
      </c>
      <c r="P282" s="4">
        <f t="shared" si="26"/>
        <v>0.96384099651578248</v>
      </c>
      <c r="Q282" s="4">
        <f t="shared" si="27"/>
        <v>1</v>
      </c>
      <c r="R282" s="4">
        <f t="shared" si="28"/>
        <v>0</v>
      </c>
      <c r="S282" s="4">
        <f t="shared" si="29"/>
        <v>0.96384099651578248</v>
      </c>
      <c r="T282" s="4">
        <f t="shared" si="30"/>
        <v>3.6828939349585407E-2</v>
      </c>
    </row>
    <row r="283" spans="1:20" x14ac:dyDescent="0.25">
      <c r="A283" s="4">
        <v>47</v>
      </c>
      <c r="B283" s="4">
        <v>1</v>
      </c>
      <c r="C283" s="4">
        <v>3</v>
      </c>
      <c r="D283" s="4">
        <v>130</v>
      </c>
      <c r="E283" s="4">
        <v>253</v>
      </c>
      <c r="F283" s="4">
        <v>0</v>
      </c>
      <c r="G283" s="4">
        <v>0</v>
      </c>
      <c r="H283" s="4">
        <v>179</v>
      </c>
      <c r="I283" s="4">
        <v>0</v>
      </c>
      <c r="J283" s="4">
        <v>0</v>
      </c>
      <c r="K283" s="4">
        <v>1</v>
      </c>
      <c r="L283" s="4">
        <v>0</v>
      </c>
      <c r="M283" s="4">
        <v>3</v>
      </c>
      <c r="N283" s="4">
        <v>0</v>
      </c>
      <c r="O283" s="4">
        <f t="shared" si="25"/>
        <v>-2.7057315170000003</v>
      </c>
      <c r="P283" s="4">
        <f t="shared" si="26"/>
        <v>6.2635998295658427E-2</v>
      </c>
      <c r="Q283" s="4">
        <f t="shared" si="27"/>
        <v>0</v>
      </c>
      <c r="R283" s="4">
        <f t="shared" si="28"/>
        <v>0</v>
      </c>
      <c r="S283" s="4">
        <f t="shared" si="29"/>
        <v>0.93736400170434153</v>
      </c>
      <c r="T283" s="4">
        <f t="shared" si="30"/>
        <v>6.4683596509196389E-2</v>
      </c>
    </row>
    <row r="284" spans="1:20" x14ac:dyDescent="0.25">
      <c r="A284" s="4">
        <v>55</v>
      </c>
      <c r="B284" s="4">
        <v>0</v>
      </c>
      <c r="C284" s="4">
        <v>4</v>
      </c>
      <c r="D284" s="4">
        <v>128</v>
      </c>
      <c r="E284" s="4">
        <v>205</v>
      </c>
      <c r="F284" s="4">
        <v>0</v>
      </c>
      <c r="G284" s="4">
        <v>1</v>
      </c>
      <c r="H284" s="4">
        <v>130</v>
      </c>
      <c r="I284" s="4">
        <v>1</v>
      </c>
      <c r="J284" s="4">
        <v>2</v>
      </c>
      <c r="K284" s="4">
        <v>2</v>
      </c>
      <c r="L284" s="4">
        <v>1</v>
      </c>
      <c r="M284" s="4">
        <v>7</v>
      </c>
      <c r="N284" s="4">
        <v>1</v>
      </c>
      <c r="O284" s="4">
        <f t="shared" si="25"/>
        <v>2.0489917730000009</v>
      </c>
      <c r="P284" s="4">
        <f t="shared" si="26"/>
        <v>0.88584570334306867</v>
      </c>
      <c r="Q284" s="4">
        <f t="shared" si="27"/>
        <v>1</v>
      </c>
      <c r="R284" s="4">
        <f t="shared" si="28"/>
        <v>0</v>
      </c>
      <c r="S284" s="4">
        <f t="shared" si="29"/>
        <v>0.88584570334306867</v>
      </c>
      <c r="T284" s="4">
        <f t="shared" si="30"/>
        <v>0.12121249326853649</v>
      </c>
    </row>
    <row r="285" spans="1:20" x14ac:dyDescent="0.25">
      <c r="A285" s="4">
        <v>35</v>
      </c>
      <c r="B285" s="4">
        <v>1</v>
      </c>
      <c r="C285" s="4">
        <v>2</v>
      </c>
      <c r="D285" s="4">
        <v>122</v>
      </c>
      <c r="E285" s="4">
        <v>192</v>
      </c>
      <c r="F285" s="4">
        <v>0</v>
      </c>
      <c r="G285" s="4">
        <v>0</v>
      </c>
      <c r="H285" s="4">
        <v>174</v>
      </c>
      <c r="I285" s="4">
        <v>0</v>
      </c>
      <c r="J285" s="4">
        <v>0</v>
      </c>
      <c r="K285" s="4">
        <v>1</v>
      </c>
      <c r="L285" s="4">
        <v>0</v>
      </c>
      <c r="M285" s="4">
        <v>3</v>
      </c>
      <c r="N285" s="4">
        <v>0</v>
      </c>
      <c r="O285" s="4">
        <f t="shared" si="25"/>
        <v>-3.5054875420000005</v>
      </c>
      <c r="P285" s="4">
        <f t="shared" si="26"/>
        <v>2.9156496228236944E-2</v>
      </c>
      <c r="Q285" s="4">
        <f t="shared" si="27"/>
        <v>0</v>
      </c>
      <c r="R285" s="4">
        <f t="shared" si="28"/>
        <v>0</v>
      </c>
      <c r="S285" s="4">
        <f t="shared" si="29"/>
        <v>0.97084350377176309</v>
      </c>
      <c r="T285" s="4">
        <f t="shared" si="30"/>
        <v>2.958999384308136E-2</v>
      </c>
    </row>
    <row r="286" spans="1:20" x14ac:dyDescent="0.25">
      <c r="A286" s="4">
        <v>61</v>
      </c>
      <c r="B286" s="4">
        <v>1</v>
      </c>
      <c r="C286" s="4">
        <v>4</v>
      </c>
      <c r="D286" s="4">
        <v>148</v>
      </c>
      <c r="E286" s="4">
        <v>203</v>
      </c>
      <c r="F286" s="4">
        <v>0</v>
      </c>
      <c r="G286" s="4">
        <v>0</v>
      </c>
      <c r="H286" s="4">
        <v>161</v>
      </c>
      <c r="I286" s="4">
        <v>0</v>
      </c>
      <c r="J286" s="4">
        <v>0</v>
      </c>
      <c r="K286" s="4">
        <v>1</v>
      </c>
      <c r="L286" s="4">
        <v>1</v>
      </c>
      <c r="M286" s="4">
        <v>7</v>
      </c>
      <c r="N286" s="4">
        <v>1</v>
      </c>
      <c r="O286" s="4">
        <f t="shared" si="25"/>
        <v>0.87038872399999967</v>
      </c>
      <c r="P286" s="4">
        <f t="shared" si="26"/>
        <v>0.70482657693856365</v>
      </c>
      <c r="Q286" s="4">
        <f t="shared" si="27"/>
        <v>1</v>
      </c>
      <c r="R286" s="4">
        <f t="shared" si="28"/>
        <v>0</v>
      </c>
      <c r="S286" s="4">
        <f t="shared" si="29"/>
        <v>0.70482657693856365</v>
      </c>
      <c r="T286" s="4">
        <f t="shared" si="30"/>
        <v>0.3498034965884757</v>
      </c>
    </row>
    <row r="287" spans="1:20" x14ac:dyDescent="0.25">
      <c r="A287" s="4">
        <v>58</v>
      </c>
      <c r="B287" s="4">
        <v>1</v>
      </c>
      <c r="C287" s="4">
        <v>4</v>
      </c>
      <c r="D287" s="4">
        <v>114</v>
      </c>
      <c r="E287" s="4">
        <v>318</v>
      </c>
      <c r="F287" s="4">
        <v>0</v>
      </c>
      <c r="G287" s="4">
        <v>1</v>
      </c>
      <c r="H287" s="4">
        <v>140</v>
      </c>
      <c r="I287" s="4">
        <v>0</v>
      </c>
      <c r="J287" s="4">
        <v>4.4000000000000004</v>
      </c>
      <c r="K287" s="4">
        <v>3</v>
      </c>
      <c r="L287" s="4">
        <v>3</v>
      </c>
      <c r="M287" s="4">
        <v>6</v>
      </c>
      <c r="N287" s="4">
        <v>1</v>
      </c>
      <c r="O287" s="4">
        <f t="shared" si="25"/>
        <v>5.7690064402000001</v>
      </c>
      <c r="P287" s="4">
        <f t="shared" si="26"/>
        <v>0.99688686316632957</v>
      </c>
      <c r="Q287" s="4">
        <f t="shared" si="27"/>
        <v>1</v>
      </c>
      <c r="R287" s="4">
        <f t="shared" si="28"/>
        <v>0</v>
      </c>
      <c r="S287" s="4">
        <f t="shared" si="29"/>
        <v>0.99688686316632957</v>
      </c>
      <c r="T287" s="4">
        <f t="shared" si="30"/>
        <v>3.1179927247975653E-3</v>
      </c>
    </row>
    <row r="288" spans="1:20" x14ac:dyDescent="0.25">
      <c r="A288" s="4">
        <v>58</v>
      </c>
      <c r="B288" s="4">
        <v>0</v>
      </c>
      <c r="C288" s="4">
        <v>4</v>
      </c>
      <c r="D288" s="4">
        <v>170</v>
      </c>
      <c r="E288" s="4">
        <v>225</v>
      </c>
      <c r="F288" s="4">
        <v>1</v>
      </c>
      <c r="G288" s="4">
        <v>2</v>
      </c>
      <c r="H288" s="4">
        <v>146</v>
      </c>
      <c r="I288" s="4">
        <v>1</v>
      </c>
      <c r="J288" s="4">
        <v>2.8</v>
      </c>
      <c r="K288" s="4">
        <v>2</v>
      </c>
      <c r="L288" s="4">
        <v>2</v>
      </c>
      <c r="M288" s="4">
        <v>6</v>
      </c>
      <c r="N288" s="4">
        <v>1</v>
      </c>
      <c r="O288" s="4">
        <f t="shared" si="25"/>
        <v>3.1305821314000006</v>
      </c>
      <c r="P288" s="4">
        <f t="shared" si="26"/>
        <v>0.95813674887967415</v>
      </c>
      <c r="Q288" s="4">
        <f t="shared" si="27"/>
        <v>1</v>
      </c>
      <c r="R288" s="4">
        <f t="shared" si="28"/>
        <v>0</v>
      </c>
      <c r="S288" s="4">
        <f t="shared" si="29"/>
        <v>0.95813674887967415</v>
      </c>
      <c r="T288" s="4">
        <f t="shared" si="30"/>
        <v>4.2764767064979337E-2</v>
      </c>
    </row>
    <row r="289" spans="1:20" x14ac:dyDescent="0.25">
      <c r="A289" s="4">
        <v>56</v>
      </c>
      <c r="B289" s="4">
        <v>1</v>
      </c>
      <c r="C289" s="4">
        <v>2</v>
      </c>
      <c r="D289" s="4">
        <v>130</v>
      </c>
      <c r="E289" s="4">
        <v>221</v>
      </c>
      <c r="F289" s="4">
        <v>0</v>
      </c>
      <c r="G289" s="4">
        <v>2</v>
      </c>
      <c r="H289" s="4">
        <v>163</v>
      </c>
      <c r="I289" s="4">
        <v>0</v>
      </c>
      <c r="J289" s="4">
        <v>0</v>
      </c>
      <c r="K289" s="4">
        <v>1</v>
      </c>
      <c r="L289" s="4">
        <v>0</v>
      </c>
      <c r="M289" s="4">
        <v>7</v>
      </c>
      <c r="N289" s="4">
        <v>0</v>
      </c>
      <c r="O289" s="4">
        <f t="shared" si="25"/>
        <v>-1.3722716109999986</v>
      </c>
      <c r="P289" s="4">
        <f t="shared" si="26"/>
        <v>0.2022530814185948</v>
      </c>
      <c r="Q289" s="4">
        <f t="shared" si="27"/>
        <v>0</v>
      </c>
      <c r="R289" s="4">
        <f t="shared" si="28"/>
        <v>0</v>
      </c>
      <c r="S289" s="4">
        <f t="shared" si="29"/>
        <v>0.79774691858140523</v>
      </c>
      <c r="T289" s="4">
        <f t="shared" si="30"/>
        <v>0.22596387646815394</v>
      </c>
    </row>
    <row r="290" spans="1:20" x14ac:dyDescent="0.25">
      <c r="A290" s="4">
        <v>56</v>
      </c>
      <c r="B290" s="4">
        <v>1</v>
      </c>
      <c r="C290" s="4">
        <v>2</v>
      </c>
      <c r="D290" s="4">
        <v>120</v>
      </c>
      <c r="E290" s="4">
        <v>240</v>
      </c>
      <c r="F290" s="4">
        <v>0</v>
      </c>
      <c r="G290" s="4">
        <v>0</v>
      </c>
      <c r="H290" s="4">
        <v>169</v>
      </c>
      <c r="I290" s="4">
        <v>0</v>
      </c>
      <c r="J290" s="4">
        <v>0</v>
      </c>
      <c r="K290" s="4">
        <v>3</v>
      </c>
      <c r="L290" s="4">
        <v>0</v>
      </c>
      <c r="M290" s="4">
        <v>3</v>
      </c>
      <c r="N290" s="4">
        <v>0</v>
      </c>
      <c r="O290" s="4">
        <f t="shared" si="25"/>
        <v>-2.3677614829999989</v>
      </c>
      <c r="P290" s="4">
        <f t="shared" si="26"/>
        <v>8.5664310831430779E-2</v>
      </c>
      <c r="Q290" s="4">
        <f t="shared" si="27"/>
        <v>0</v>
      </c>
      <c r="R290" s="4">
        <f t="shared" si="28"/>
        <v>0</v>
      </c>
      <c r="S290" s="4">
        <f t="shared" si="29"/>
        <v>0.91433568916856922</v>
      </c>
      <c r="T290" s="4">
        <f t="shared" si="30"/>
        <v>8.9557500155369452E-2</v>
      </c>
    </row>
    <row r="291" spans="1:20" x14ac:dyDescent="0.25">
      <c r="A291" s="4">
        <v>67</v>
      </c>
      <c r="B291" s="4">
        <v>1</v>
      </c>
      <c r="C291" s="4">
        <v>3</v>
      </c>
      <c r="D291" s="4">
        <v>152</v>
      </c>
      <c r="E291" s="4">
        <v>212</v>
      </c>
      <c r="F291" s="4">
        <v>0</v>
      </c>
      <c r="G291" s="4">
        <v>2</v>
      </c>
      <c r="H291" s="4">
        <v>150</v>
      </c>
      <c r="I291" s="4">
        <v>0</v>
      </c>
      <c r="J291" s="4">
        <v>0.8</v>
      </c>
      <c r="K291" s="4">
        <v>2</v>
      </c>
      <c r="L291" s="4">
        <v>0</v>
      </c>
      <c r="M291" s="4">
        <v>7</v>
      </c>
      <c r="N291" s="4">
        <v>1</v>
      </c>
      <c r="O291" s="4">
        <f t="shared" si="25"/>
        <v>0.56848240939999961</v>
      </c>
      <c r="P291" s="4">
        <f t="shared" si="26"/>
        <v>0.63841292534748428</v>
      </c>
      <c r="Q291" s="4">
        <f t="shared" si="27"/>
        <v>1</v>
      </c>
      <c r="R291" s="4">
        <f t="shared" si="28"/>
        <v>0</v>
      </c>
      <c r="S291" s="4">
        <f t="shared" si="29"/>
        <v>0.63841292534748428</v>
      </c>
      <c r="T291" s="4">
        <f t="shared" si="30"/>
        <v>0.44876998657987183</v>
      </c>
    </row>
    <row r="292" spans="1:20" x14ac:dyDescent="0.25">
      <c r="A292" s="4">
        <v>55</v>
      </c>
      <c r="B292" s="4">
        <v>0</v>
      </c>
      <c r="C292" s="4">
        <v>2</v>
      </c>
      <c r="D292" s="4">
        <v>132</v>
      </c>
      <c r="E292" s="4">
        <v>342</v>
      </c>
      <c r="F292" s="4">
        <v>0</v>
      </c>
      <c r="G292" s="4">
        <v>0</v>
      </c>
      <c r="H292" s="4">
        <v>166</v>
      </c>
      <c r="I292" s="4">
        <v>0</v>
      </c>
      <c r="J292" s="4">
        <v>1.2</v>
      </c>
      <c r="K292" s="4">
        <v>1</v>
      </c>
      <c r="L292" s="4">
        <v>0</v>
      </c>
      <c r="M292" s="4">
        <v>3</v>
      </c>
      <c r="N292" s="4">
        <v>0</v>
      </c>
      <c r="O292" s="4">
        <f t="shared" si="25"/>
        <v>-3.6488651223999997</v>
      </c>
      <c r="P292" s="4">
        <f t="shared" si="26"/>
        <v>2.5360739541171073E-2</v>
      </c>
      <c r="Q292" s="4">
        <f t="shared" si="27"/>
        <v>0</v>
      </c>
      <c r="R292" s="4">
        <f t="shared" si="28"/>
        <v>0</v>
      </c>
      <c r="S292" s="4">
        <f t="shared" si="29"/>
        <v>0.97463926045882898</v>
      </c>
      <c r="T292" s="4">
        <f t="shared" si="30"/>
        <v>2.5687865720204407E-2</v>
      </c>
    </row>
    <row r="293" spans="1:20" x14ac:dyDescent="0.25">
      <c r="A293" s="4">
        <v>44</v>
      </c>
      <c r="B293" s="4">
        <v>1</v>
      </c>
      <c r="C293" s="4">
        <v>4</v>
      </c>
      <c r="D293" s="4">
        <v>120</v>
      </c>
      <c r="E293" s="4">
        <v>169</v>
      </c>
      <c r="F293" s="4">
        <v>0</v>
      </c>
      <c r="G293" s="4">
        <v>0</v>
      </c>
      <c r="H293" s="4">
        <v>144</v>
      </c>
      <c r="I293" s="4">
        <v>1</v>
      </c>
      <c r="J293" s="4">
        <v>2.8</v>
      </c>
      <c r="K293" s="4">
        <v>3</v>
      </c>
      <c r="L293" s="4">
        <v>0</v>
      </c>
      <c r="M293" s="4">
        <v>6</v>
      </c>
      <c r="N293" s="4">
        <v>1</v>
      </c>
      <c r="O293" s="4">
        <f t="shared" si="25"/>
        <v>1.7665175594000004</v>
      </c>
      <c r="P293" s="4">
        <f t="shared" si="26"/>
        <v>0.85402406078713011</v>
      </c>
      <c r="Q293" s="4">
        <f t="shared" si="27"/>
        <v>1</v>
      </c>
      <c r="R293" s="4">
        <f t="shared" si="28"/>
        <v>0</v>
      </c>
      <c r="S293" s="4">
        <f t="shared" si="29"/>
        <v>0.85402406078713011</v>
      </c>
      <c r="T293" s="4">
        <f t="shared" si="30"/>
        <v>0.15779591136664742</v>
      </c>
    </row>
    <row r="294" spans="1:20" x14ac:dyDescent="0.25">
      <c r="A294" s="4">
        <v>63</v>
      </c>
      <c r="B294" s="4">
        <v>1</v>
      </c>
      <c r="C294" s="4">
        <v>4</v>
      </c>
      <c r="D294" s="4">
        <v>140</v>
      </c>
      <c r="E294" s="4">
        <v>187</v>
      </c>
      <c r="F294" s="4">
        <v>0</v>
      </c>
      <c r="G294" s="4">
        <v>2</v>
      </c>
      <c r="H294" s="4">
        <v>144</v>
      </c>
      <c r="I294" s="4">
        <v>1</v>
      </c>
      <c r="J294" s="4">
        <v>4</v>
      </c>
      <c r="K294" s="4">
        <v>1</v>
      </c>
      <c r="L294" s="4">
        <v>2</v>
      </c>
      <c r="M294" s="4">
        <v>7</v>
      </c>
      <c r="N294" s="4">
        <v>1</v>
      </c>
      <c r="O294" s="4">
        <f t="shared" si="25"/>
        <v>4.5947566280000007</v>
      </c>
      <c r="P294" s="4">
        <f t="shared" si="26"/>
        <v>0.9899964034607992</v>
      </c>
      <c r="Q294" s="4">
        <f t="shared" si="27"/>
        <v>1</v>
      </c>
      <c r="R294" s="4">
        <f t="shared" si="28"/>
        <v>0</v>
      </c>
      <c r="S294" s="4">
        <f t="shared" si="29"/>
        <v>0.9899964034607992</v>
      </c>
      <c r="T294" s="4">
        <f t="shared" si="30"/>
        <v>1.0053968727979916E-2</v>
      </c>
    </row>
    <row r="295" spans="1:20" x14ac:dyDescent="0.25">
      <c r="A295" s="4">
        <v>63</v>
      </c>
      <c r="B295" s="4">
        <v>0</v>
      </c>
      <c r="C295" s="4">
        <v>4</v>
      </c>
      <c r="D295" s="4">
        <v>124</v>
      </c>
      <c r="E295" s="4">
        <v>197</v>
      </c>
      <c r="F295" s="4">
        <v>0</v>
      </c>
      <c r="G295" s="4">
        <v>0</v>
      </c>
      <c r="H295" s="4">
        <v>136</v>
      </c>
      <c r="I295" s="4">
        <v>1</v>
      </c>
      <c r="J295" s="4">
        <v>0</v>
      </c>
      <c r="K295" s="4">
        <v>2</v>
      </c>
      <c r="L295" s="4">
        <v>0</v>
      </c>
      <c r="M295" s="4">
        <v>3</v>
      </c>
      <c r="N295" s="4">
        <v>1</v>
      </c>
      <c r="O295" s="4">
        <f t="shared" si="25"/>
        <v>-1.7078064029999993</v>
      </c>
      <c r="P295" s="4">
        <f t="shared" si="26"/>
        <v>0.15344845188733297</v>
      </c>
      <c r="Q295" s="4">
        <f t="shared" si="27"/>
        <v>0</v>
      </c>
      <c r="R295" s="4">
        <f t="shared" si="28"/>
        <v>1</v>
      </c>
      <c r="S295" s="4">
        <f t="shared" si="29"/>
        <v>0.15344845188733297</v>
      </c>
      <c r="T295" s="4">
        <f t="shared" si="30"/>
        <v>1.8743905866780493</v>
      </c>
    </row>
    <row r="296" spans="1:20" x14ac:dyDescent="0.25">
      <c r="A296" s="4">
        <v>41</v>
      </c>
      <c r="B296" s="4">
        <v>1</v>
      </c>
      <c r="C296" s="4">
        <v>2</v>
      </c>
      <c r="D296" s="4">
        <v>120</v>
      </c>
      <c r="E296" s="4">
        <v>157</v>
      </c>
      <c r="F296" s="4">
        <v>0</v>
      </c>
      <c r="G296" s="4">
        <v>0</v>
      </c>
      <c r="H296" s="4">
        <v>182</v>
      </c>
      <c r="I296" s="4">
        <v>0</v>
      </c>
      <c r="J296" s="4">
        <v>0</v>
      </c>
      <c r="K296" s="4">
        <v>1</v>
      </c>
      <c r="L296" s="4">
        <v>0</v>
      </c>
      <c r="M296" s="4">
        <v>3</v>
      </c>
      <c r="N296" s="4">
        <v>0</v>
      </c>
      <c r="O296" s="4">
        <f t="shared" si="25"/>
        <v>-3.9786911759999999</v>
      </c>
      <c r="P296" s="4">
        <f t="shared" si="26"/>
        <v>1.8366472807148253E-2</v>
      </c>
      <c r="Q296" s="4">
        <f t="shared" si="27"/>
        <v>0</v>
      </c>
      <c r="R296" s="4">
        <f t="shared" si="28"/>
        <v>0</v>
      </c>
      <c r="S296" s="4">
        <f t="shared" si="29"/>
        <v>0.9816335271928518</v>
      </c>
      <c r="T296" s="4">
        <f t="shared" si="30"/>
        <v>1.8537230511787055E-2</v>
      </c>
    </row>
    <row r="297" spans="1:20" x14ac:dyDescent="0.25">
      <c r="A297" s="4">
        <v>59</v>
      </c>
      <c r="B297" s="4">
        <v>1</v>
      </c>
      <c r="C297" s="4">
        <v>4</v>
      </c>
      <c r="D297" s="4">
        <v>164</v>
      </c>
      <c r="E297" s="4">
        <v>176</v>
      </c>
      <c r="F297" s="4">
        <v>1</v>
      </c>
      <c r="G297" s="4">
        <v>2</v>
      </c>
      <c r="H297" s="4">
        <v>90</v>
      </c>
      <c r="I297" s="4">
        <v>0</v>
      </c>
      <c r="J297" s="4">
        <v>1</v>
      </c>
      <c r="K297" s="4">
        <v>2</v>
      </c>
      <c r="L297" s="4">
        <v>2</v>
      </c>
      <c r="M297" s="4">
        <v>6</v>
      </c>
      <c r="N297" s="4">
        <v>1</v>
      </c>
      <c r="O297" s="4">
        <f t="shared" si="25"/>
        <v>3.8252590270000013</v>
      </c>
      <c r="P297" s="4">
        <f t="shared" si="26"/>
        <v>0.97865285595789664</v>
      </c>
      <c r="Q297" s="4">
        <f t="shared" si="27"/>
        <v>1</v>
      </c>
      <c r="R297" s="4">
        <f t="shared" si="28"/>
        <v>0</v>
      </c>
      <c r="S297" s="4">
        <f t="shared" si="29"/>
        <v>0.97865285595789664</v>
      </c>
      <c r="T297" s="4">
        <f t="shared" si="30"/>
        <v>2.157828977505476E-2</v>
      </c>
    </row>
    <row r="298" spans="1:20" x14ac:dyDescent="0.25">
      <c r="A298" s="4">
        <v>57</v>
      </c>
      <c r="B298" s="4">
        <v>0</v>
      </c>
      <c r="C298" s="4">
        <v>4</v>
      </c>
      <c r="D298" s="4">
        <v>140</v>
      </c>
      <c r="E298" s="4">
        <v>241</v>
      </c>
      <c r="F298" s="4">
        <v>0</v>
      </c>
      <c r="G298" s="4">
        <v>0</v>
      </c>
      <c r="H298" s="4">
        <v>123</v>
      </c>
      <c r="I298" s="4">
        <v>1</v>
      </c>
      <c r="J298" s="4">
        <v>0.2</v>
      </c>
      <c r="K298" s="4">
        <v>2</v>
      </c>
      <c r="L298" s="4">
        <v>0</v>
      </c>
      <c r="M298" s="4">
        <v>7</v>
      </c>
      <c r="N298" s="4">
        <v>1</v>
      </c>
      <c r="O298" s="4">
        <f t="shared" si="25"/>
        <v>0.67552382760000107</v>
      </c>
      <c r="P298" s="4">
        <f t="shared" si="26"/>
        <v>0.66273893102028925</v>
      </c>
      <c r="Q298" s="4">
        <f t="shared" si="27"/>
        <v>1</v>
      </c>
      <c r="R298" s="4">
        <f t="shared" si="28"/>
        <v>0</v>
      </c>
      <c r="S298" s="4">
        <f t="shared" si="29"/>
        <v>0.66273893102028925</v>
      </c>
      <c r="T298" s="4">
        <f t="shared" si="30"/>
        <v>0.41137413554389096</v>
      </c>
    </row>
    <row r="299" spans="1:20" x14ac:dyDescent="0.25">
      <c r="A299" s="4">
        <v>45</v>
      </c>
      <c r="B299" s="4">
        <v>1</v>
      </c>
      <c r="C299" s="4">
        <v>1</v>
      </c>
      <c r="D299" s="4">
        <v>110</v>
      </c>
      <c r="E299" s="4">
        <v>264</v>
      </c>
      <c r="F299" s="4">
        <v>0</v>
      </c>
      <c r="G299" s="4">
        <v>0</v>
      </c>
      <c r="H299" s="4">
        <v>132</v>
      </c>
      <c r="I299" s="4">
        <v>0</v>
      </c>
      <c r="J299" s="4">
        <v>1.2</v>
      </c>
      <c r="K299" s="4">
        <v>2</v>
      </c>
      <c r="L299" s="4">
        <v>0</v>
      </c>
      <c r="M299" s="4">
        <v>7</v>
      </c>
      <c r="N299" s="4">
        <v>1</v>
      </c>
      <c r="O299" s="4">
        <f t="shared" si="25"/>
        <v>-1.0413356313999991</v>
      </c>
      <c r="P299" s="4">
        <f t="shared" si="26"/>
        <v>0.26089236516199499</v>
      </c>
      <c r="Q299" s="4">
        <f t="shared" si="27"/>
        <v>0</v>
      </c>
      <c r="R299" s="4">
        <f t="shared" si="28"/>
        <v>1</v>
      </c>
      <c r="S299" s="4">
        <f t="shared" si="29"/>
        <v>0.26089236516199499</v>
      </c>
      <c r="T299" s="4">
        <f t="shared" si="30"/>
        <v>1.3436473507325861</v>
      </c>
    </row>
    <row r="300" spans="1:20" x14ac:dyDescent="0.25">
      <c r="A300" s="4">
        <v>68</v>
      </c>
      <c r="B300" s="4">
        <v>1</v>
      </c>
      <c r="C300" s="4">
        <v>4</v>
      </c>
      <c r="D300" s="4">
        <v>144</v>
      </c>
      <c r="E300" s="4">
        <v>193</v>
      </c>
      <c r="F300" s="4">
        <v>1</v>
      </c>
      <c r="G300" s="4">
        <v>0</v>
      </c>
      <c r="H300" s="4">
        <v>141</v>
      </c>
      <c r="I300" s="4">
        <v>0</v>
      </c>
      <c r="J300" s="4">
        <v>3.4</v>
      </c>
      <c r="K300" s="4">
        <v>2</v>
      </c>
      <c r="L300" s="4">
        <v>2</v>
      </c>
      <c r="M300" s="4">
        <v>7</v>
      </c>
      <c r="N300" s="4">
        <v>1</v>
      </c>
      <c r="O300" s="4">
        <f t="shared" si="25"/>
        <v>2.695345316200001</v>
      </c>
      <c r="P300" s="4">
        <f t="shared" si="26"/>
        <v>0.9367514223350133</v>
      </c>
      <c r="Q300" s="4">
        <f t="shared" si="27"/>
        <v>1</v>
      </c>
      <c r="R300" s="4">
        <f t="shared" si="28"/>
        <v>0</v>
      </c>
      <c r="S300" s="4">
        <f t="shared" si="29"/>
        <v>0.9367514223350133</v>
      </c>
      <c r="T300" s="4">
        <f t="shared" si="30"/>
        <v>6.5337322937447873E-2</v>
      </c>
    </row>
    <row r="301" spans="1:20" x14ac:dyDescent="0.25">
      <c r="A301" s="4">
        <v>57</v>
      </c>
      <c r="B301" s="4">
        <v>1</v>
      </c>
      <c r="C301" s="4">
        <v>4</v>
      </c>
      <c r="D301" s="4">
        <v>130</v>
      </c>
      <c r="E301" s="4">
        <v>131</v>
      </c>
      <c r="F301" s="4">
        <v>0</v>
      </c>
      <c r="G301" s="4">
        <v>0</v>
      </c>
      <c r="H301" s="4">
        <v>115</v>
      </c>
      <c r="I301" s="4">
        <v>1</v>
      </c>
      <c r="J301" s="4">
        <v>1.2</v>
      </c>
      <c r="K301" s="4">
        <v>2</v>
      </c>
      <c r="L301" s="4">
        <v>1</v>
      </c>
      <c r="M301" s="4">
        <v>7</v>
      </c>
      <c r="N301" s="4">
        <v>1</v>
      </c>
      <c r="O301" s="4">
        <f t="shared" si="25"/>
        <v>2.8781094445999997</v>
      </c>
      <c r="P301" s="4">
        <f t="shared" si="26"/>
        <v>0.94675363891813047</v>
      </c>
      <c r="Q301" s="4">
        <f t="shared" si="27"/>
        <v>1</v>
      </c>
      <c r="R301" s="4">
        <f t="shared" si="28"/>
        <v>0</v>
      </c>
      <c r="S301" s="4">
        <f t="shared" si="29"/>
        <v>0.94675363891813047</v>
      </c>
      <c r="T301" s="4">
        <f t="shared" si="30"/>
        <v>5.4716368618360933E-2</v>
      </c>
    </row>
    <row r="302" spans="1:20" x14ac:dyDescent="0.25">
      <c r="A302" s="4">
        <v>57</v>
      </c>
      <c r="B302" s="4">
        <v>0</v>
      </c>
      <c r="C302" s="4">
        <v>2</v>
      </c>
      <c r="D302" s="4">
        <v>130</v>
      </c>
      <c r="E302" s="4">
        <v>236</v>
      </c>
      <c r="F302" s="4">
        <v>0</v>
      </c>
      <c r="G302" s="4">
        <v>2</v>
      </c>
      <c r="H302" s="4">
        <v>174</v>
      </c>
      <c r="I302" s="4">
        <v>0</v>
      </c>
      <c r="J302" s="4">
        <v>0</v>
      </c>
      <c r="K302" s="4">
        <v>2</v>
      </c>
      <c r="L302" s="4">
        <v>1</v>
      </c>
      <c r="M302" s="4">
        <v>3</v>
      </c>
      <c r="N302" s="4">
        <v>1</v>
      </c>
      <c r="O302" s="4">
        <f t="shared" si="25"/>
        <v>-2.3889052919999996</v>
      </c>
      <c r="P302" s="4">
        <f t="shared" si="26"/>
        <v>8.4022645377674857E-2</v>
      </c>
      <c r="Q302" s="4">
        <f t="shared" si="27"/>
        <v>0</v>
      </c>
      <c r="R302" s="4">
        <f t="shared" si="28"/>
        <v>1</v>
      </c>
      <c r="S302" s="4">
        <f t="shared" si="29"/>
        <v>8.4022645377674857E-2</v>
      </c>
      <c r="T302" s="4">
        <f t="shared" si="30"/>
        <v>2.4766689286416299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LR</vt:lpstr>
      <vt:lpstr>LR-log-likeihoods</vt:lpstr>
      <vt:lpstr>LR-log-loss</vt:lpstr>
      <vt:lpstr>'LR-log-likeihoods'!Heart_disease_processed_cleveland___Copy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2025-11-27T12:39:16Z</dcterms:modified>
</cp:coreProperties>
</file>