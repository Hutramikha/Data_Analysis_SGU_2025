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C0CB2F2A-14CB-43B0-A7E4-52BF7854B2C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LR-log-likelihoods" sheetId="1" r:id="rId1"/>
    <sheet name="LR-log-loss" sheetId="5" r:id="rId2"/>
  </sheets>
  <definedNames>
    <definedName name="Heart_disease_processed_cleveland___Copy" localSheetId="0">'LR-log-likelihoods'!$A$6:$N$221</definedName>
    <definedName name="Heart_disease_processed_cleveland___Copy" localSheetId="1">'LR-log-loss'!$A$6:$N$221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5" l="1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6" i="5"/>
  <c r="O306" i="5"/>
  <c r="P306" i="5" s="1"/>
  <c r="Q306" i="5" s="1"/>
  <c r="R306" i="5" s="1"/>
  <c r="O305" i="5"/>
  <c r="P305" i="5" s="1"/>
  <c r="Q305" i="5" s="1"/>
  <c r="R305" i="5" s="1"/>
  <c r="O304" i="5"/>
  <c r="P304" i="5" s="1"/>
  <c r="Q304" i="5" s="1"/>
  <c r="R304" i="5" s="1"/>
  <c r="O303" i="5"/>
  <c r="P303" i="5" s="1"/>
  <c r="Q303" i="5" s="1"/>
  <c r="R303" i="5" s="1"/>
  <c r="O302" i="5"/>
  <c r="P302" i="5" s="1"/>
  <c r="Q302" i="5" s="1"/>
  <c r="R302" i="5" s="1"/>
  <c r="O301" i="5"/>
  <c r="P301" i="5" s="1"/>
  <c r="Q301" i="5" s="1"/>
  <c r="R301" i="5" s="1"/>
  <c r="O300" i="5"/>
  <c r="P300" i="5" s="1"/>
  <c r="Q300" i="5" s="1"/>
  <c r="R300" i="5" s="1"/>
  <c r="O299" i="5"/>
  <c r="P299" i="5" s="1"/>
  <c r="Q299" i="5" s="1"/>
  <c r="R299" i="5" s="1"/>
  <c r="O298" i="5"/>
  <c r="P298" i="5" s="1"/>
  <c r="Q298" i="5" s="1"/>
  <c r="R298" i="5" s="1"/>
  <c r="O297" i="5"/>
  <c r="P297" i="5" s="1"/>
  <c r="Q297" i="5" s="1"/>
  <c r="R297" i="5" s="1"/>
  <c r="O296" i="5"/>
  <c r="P296" i="5" s="1"/>
  <c r="Q296" i="5" s="1"/>
  <c r="R296" i="5" s="1"/>
  <c r="O295" i="5"/>
  <c r="P295" i="5" s="1"/>
  <c r="Q295" i="5" s="1"/>
  <c r="R295" i="5" s="1"/>
  <c r="O294" i="5"/>
  <c r="P294" i="5" s="1"/>
  <c r="Q294" i="5" s="1"/>
  <c r="R294" i="5" s="1"/>
  <c r="O293" i="5"/>
  <c r="P293" i="5" s="1"/>
  <c r="Q293" i="5" s="1"/>
  <c r="R293" i="5" s="1"/>
  <c r="O292" i="5"/>
  <c r="P292" i="5" s="1"/>
  <c r="Q292" i="5" s="1"/>
  <c r="R292" i="5" s="1"/>
  <c r="O291" i="5"/>
  <c r="P291" i="5" s="1"/>
  <c r="Q291" i="5" s="1"/>
  <c r="R291" i="5" s="1"/>
  <c r="O290" i="5"/>
  <c r="P290" i="5" s="1"/>
  <c r="Q290" i="5" s="1"/>
  <c r="R290" i="5" s="1"/>
  <c r="O289" i="5"/>
  <c r="P289" i="5" s="1"/>
  <c r="Q289" i="5" s="1"/>
  <c r="R289" i="5" s="1"/>
  <c r="O288" i="5"/>
  <c r="P288" i="5" s="1"/>
  <c r="Q288" i="5" s="1"/>
  <c r="R288" i="5" s="1"/>
  <c r="O287" i="5"/>
  <c r="P287" i="5" s="1"/>
  <c r="Q287" i="5" s="1"/>
  <c r="R287" i="5" s="1"/>
  <c r="O286" i="5"/>
  <c r="P286" i="5" s="1"/>
  <c r="Q286" i="5" s="1"/>
  <c r="R286" i="5" s="1"/>
  <c r="O285" i="5"/>
  <c r="P285" i="5" s="1"/>
  <c r="Q285" i="5" s="1"/>
  <c r="R285" i="5" s="1"/>
  <c r="O284" i="5"/>
  <c r="P284" i="5" s="1"/>
  <c r="Q284" i="5" s="1"/>
  <c r="R284" i="5" s="1"/>
  <c r="O283" i="5"/>
  <c r="P283" i="5" s="1"/>
  <c r="Q283" i="5" s="1"/>
  <c r="R283" i="5" s="1"/>
  <c r="O282" i="5"/>
  <c r="P282" i="5" s="1"/>
  <c r="Q282" i="5" s="1"/>
  <c r="R282" i="5" s="1"/>
  <c r="O281" i="5"/>
  <c r="P281" i="5" s="1"/>
  <c r="Q281" i="5" s="1"/>
  <c r="R281" i="5" s="1"/>
  <c r="O280" i="5"/>
  <c r="P280" i="5" s="1"/>
  <c r="Q280" i="5" s="1"/>
  <c r="R280" i="5" s="1"/>
  <c r="O279" i="5"/>
  <c r="P279" i="5" s="1"/>
  <c r="Q279" i="5" s="1"/>
  <c r="R279" i="5" s="1"/>
  <c r="O278" i="5"/>
  <c r="P278" i="5" s="1"/>
  <c r="Q278" i="5" s="1"/>
  <c r="R278" i="5" s="1"/>
  <c r="O277" i="5"/>
  <c r="P277" i="5" s="1"/>
  <c r="Q277" i="5" s="1"/>
  <c r="R277" i="5" s="1"/>
  <c r="O276" i="5"/>
  <c r="P276" i="5" s="1"/>
  <c r="Q276" i="5" s="1"/>
  <c r="R276" i="5" s="1"/>
  <c r="O275" i="5"/>
  <c r="P275" i="5" s="1"/>
  <c r="Q275" i="5" s="1"/>
  <c r="R275" i="5" s="1"/>
  <c r="O274" i="5"/>
  <c r="P274" i="5" s="1"/>
  <c r="Q274" i="5" s="1"/>
  <c r="R274" i="5" s="1"/>
  <c r="O273" i="5"/>
  <c r="P273" i="5" s="1"/>
  <c r="Q273" i="5" s="1"/>
  <c r="R273" i="5" s="1"/>
  <c r="O272" i="5"/>
  <c r="P272" i="5" s="1"/>
  <c r="Q272" i="5" s="1"/>
  <c r="R272" i="5" s="1"/>
  <c r="O271" i="5"/>
  <c r="P271" i="5" s="1"/>
  <c r="Q271" i="5" s="1"/>
  <c r="R271" i="5" s="1"/>
  <c r="O270" i="5"/>
  <c r="P270" i="5" s="1"/>
  <c r="Q270" i="5" s="1"/>
  <c r="R270" i="5" s="1"/>
  <c r="O269" i="5"/>
  <c r="P269" i="5" s="1"/>
  <c r="Q269" i="5" s="1"/>
  <c r="R269" i="5" s="1"/>
  <c r="O268" i="5"/>
  <c r="P268" i="5" s="1"/>
  <c r="Q268" i="5" s="1"/>
  <c r="R268" i="5" s="1"/>
  <c r="O267" i="5"/>
  <c r="P267" i="5" s="1"/>
  <c r="Q267" i="5" s="1"/>
  <c r="R267" i="5" s="1"/>
  <c r="O266" i="5"/>
  <c r="P266" i="5" s="1"/>
  <c r="Q266" i="5" s="1"/>
  <c r="R266" i="5" s="1"/>
  <c r="O265" i="5"/>
  <c r="P265" i="5" s="1"/>
  <c r="Q265" i="5" s="1"/>
  <c r="R265" i="5" s="1"/>
  <c r="O264" i="5"/>
  <c r="P264" i="5" s="1"/>
  <c r="Q264" i="5" s="1"/>
  <c r="R264" i="5" s="1"/>
  <c r="O263" i="5"/>
  <c r="P263" i="5" s="1"/>
  <c r="Q263" i="5" s="1"/>
  <c r="R263" i="5" s="1"/>
  <c r="O262" i="5"/>
  <c r="P262" i="5" s="1"/>
  <c r="Q262" i="5" s="1"/>
  <c r="R262" i="5" s="1"/>
  <c r="O261" i="5"/>
  <c r="P261" i="5" s="1"/>
  <c r="Q261" i="5" s="1"/>
  <c r="R261" i="5" s="1"/>
  <c r="O260" i="5"/>
  <c r="P260" i="5" s="1"/>
  <c r="Q260" i="5" s="1"/>
  <c r="R260" i="5" s="1"/>
  <c r="O259" i="5"/>
  <c r="P259" i="5" s="1"/>
  <c r="Q259" i="5" s="1"/>
  <c r="R259" i="5" s="1"/>
  <c r="O258" i="5"/>
  <c r="P258" i="5" s="1"/>
  <c r="Q258" i="5" s="1"/>
  <c r="R258" i="5" s="1"/>
  <c r="O257" i="5"/>
  <c r="P257" i="5" s="1"/>
  <c r="Q257" i="5" s="1"/>
  <c r="R257" i="5" s="1"/>
  <c r="O256" i="5"/>
  <c r="P256" i="5" s="1"/>
  <c r="Q256" i="5" s="1"/>
  <c r="R256" i="5" s="1"/>
  <c r="O255" i="5"/>
  <c r="P255" i="5" s="1"/>
  <c r="Q255" i="5" s="1"/>
  <c r="R255" i="5" s="1"/>
  <c r="O254" i="5"/>
  <c r="P254" i="5" s="1"/>
  <c r="Q254" i="5" s="1"/>
  <c r="R254" i="5" s="1"/>
  <c r="O253" i="5"/>
  <c r="P253" i="5" s="1"/>
  <c r="Q253" i="5" s="1"/>
  <c r="R253" i="5" s="1"/>
  <c r="O252" i="5"/>
  <c r="P252" i="5" s="1"/>
  <c r="Q252" i="5" s="1"/>
  <c r="R252" i="5" s="1"/>
  <c r="O251" i="5"/>
  <c r="P251" i="5" s="1"/>
  <c r="Q251" i="5" s="1"/>
  <c r="R251" i="5" s="1"/>
  <c r="O250" i="5"/>
  <c r="P250" i="5" s="1"/>
  <c r="Q250" i="5" s="1"/>
  <c r="R250" i="5" s="1"/>
  <c r="O249" i="5"/>
  <c r="P249" i="5" s="1"/>
  <c r="Q249" i="5" s="1"/>
  <c r="R249" i="5" s="1"/>
  <c r="O248" i="5"/>
  <c r="P248" i="5" s="1"/>
  <c r="Q248" i="5" s="1"/>
  <c r="R248" i="5" s="1"/>
  <c r="O247" i="5"/>
  <c r="P247" i="5" s="1"/>
  <c r="Q247" i="5" s="1"/>
  <c r="R247" i="5" s="1"/>
  <c r="O246" i="5"/>
  <c r="P246" i="5" s="1"/>
  <c r="Q246" i="5" s="1"/>
  <c r="R246" i="5" s="1"/>
  <c r="O245" i="5"/>
  <c r="P245" i="5" s="1"/>
  <c r="Q245" i="5" s="1"/>
  <c r="R245" i="5" s="1"/>
  <c r="O244" i="5"/>
  <c r="P244" i="5" s="1"/>
  <c r="Q244" i="5" s="1"/>
  <c r="R244" i="5" s="1"/>
  <c r="O243" i="5"/>
  <c r="P243" i="5" s="1"/>
  <c r="Q243" i="5" s="1"/>
  <c r="R243" i="5" s="1"/>
  <c r="O242" i="5"/>
  <c r="P242" i="5" s="1"/>
  <c r="Q242" i="5" s="1"/>
  <c r="R242" i="5" s="1"/>
  <c r="O241" i="5"/>
  <c r="P241" i="5" s="1"/>
  <c r="Q241" i="5" s="1"/>
  <c r="R241" i="5" s="1"/>
  <c r="O240" i="5"/>
  <c r="P240" i="5" s="1"/>
  <c r="Q240" i="5" s="1"/>
  <c r="R240" i="5" s="1"/>
  <c r="O239" i="5"/>
  <c r="P239" i="5" s="1"/>
  <c r="Q239" i="5" s="1"/>
  <c r="R239" i="5" s="1"/>
  <c r="O238" i="5"/>
  <c r="P238" i="5" s="1"/>
  <c r="Q238" i="5" s="1"/>
  <c r="R238" i="5" s="1"/>
  <c r="O237" i="5"/>
  <c r="P237" i="5" s="1"/>
  <c r="Q237" i="5" s="1"/>
  <c r="R237" i="5" s="1"/>
  <c r="O236" i="5"/>
  <c r="P236" i="5" s="1"/>
  <c r="Q236" i="5" s="1"/>
  <c r="R236" i="5" s="1"/>
  <c r="O235" i="5"/>
  <c r="P235" i="5" s="1"/>
  <c r="Q235" i="5" s="1"/>
  <c r="R235" i="5" s="1"/>
  <c r="O234" i="5"/>
  <c r="P234" i="5" s="1"/>
  <c r="Q234" i="5" s="1"/>
  <c r="R234" i="5" s="1"/>
  <c r="O233" i="5"/>
  <c r="P233" i="5" s="1"/>
  <c r="Q233" i="5" s="1"/>
  <c r="R233" i="5" s="1"/>
  <c r="O232" i="5"/>
  <c r="P232" i="5" s="1"/>
  <c r="Q232" i="5" s="1"/>
  <c r="R232" i="5" s="1"/>
  <c r="O231" i="5"/>
  <c r="P231" i="5" s="1"/>
  <c r="Q231" i="5" s="1"/>
  <c r="R231" i="5" s="1"/>
  <c r="O230" i="5"/>
  <c r="P230" i="5" s="1"/>
  <c r="Q230" i="5" s="1"/>
  <c r="R230" i="5" s="1"/>
  <c r="O229" i="5"/>
  <c r="P229" i="5" s="1"/>
  <c r="Q229" i="5" s="1"/>
  <c r="R229" i="5" s="1"/>
  <c r="O228" i="5"/>
  <c r="P228" i="5" s="1"/>
  <c r="Q228" i="5" s="1"/>
  <c r="R228" i="5" s="1"/>
  <c r="O227" i="5"/>
  <c r="P227" i="5" s="1"/>
  <c r="Q227" i="5" s="1"/>
  <c r="R227" i="5" s="1"/>
  <c r="O226" i="5"/>
  <c r="P226" i="5" s="1"/>
  <c r="Q226" i="5" s="1"/>
  <c r="R226" i="5" s="1"/>
  <c r="O225" i="5"/>
  <c r="P225" i="5" s="1"/>
  <c r="Q225" i="5" s="1"/>
  <c r="R225" i="5" s="1"/>
  <c r="O224" i="5"/>
  <c r="P224" i="5" s="1"/>
  <c r="Q224" i="5" s="1"/>
  <c r="R224" i="5" s="1"/>
  <c r="O219" i="5"/>
  <c r="P219" i="5" s="1"/>
  <c r="O218" i="5"/>
  <c r="P218" i="5" s="1"/>
  <c r="S217" i="5"/>
  <c r="O217" i="5"/>
  <c r="P217" i="5" s="1"/>
  <c r="Q217" i="5" s="1"/>
  <c r="R217" i="5" s="1"/>
  <c r="O216" i="5"/>
  <c r="P216" i="5" s="1"/>
  <c r="O215" i="5"/>
  <c r="P215" i="5" s="1"/>
  <c r="O214" i="5"/>
  <c r="P214" i="5" s="1"/>
  <c r="Q214" i="5" s="1"/>
  <c r="R214" i="5" s="1"/>
  <c r="P213" i="5"/>
  <c r="S213" i="5" s="1"/>
  <c r="O213" i="5"/>
  <c r="O212" i="5"/>
  <c r="P212" i="5" s="1"/>
  <c r="S212" i="5" s="1"/>
  <c r="O211" i="5"/>
  <c r="P211" i="5" s="1"/>
  <c r="O210" i="5"/>
  <c r="P210" i="5" s="1"/>
  <c r="S209" i="5"/>
  <c r="O209" i="5"/>
  <c r="P209" i="5" s="1"/>
  <c r="Q209" i="5" s="1"/>
  <c r="R209" i="5" s="1"/>
  <c r="O208" i="5"/>
  <c r="P208" i="5" s="1"/>
  <c r="O207" i="5"/>
  <c r="P207" i="5" s="1"/>
  <c r="O206" i="5"/>
  <c r="P206" i="5" s="1"/>
  <c r="Q206" i="5" s="1"/>
  <c r="R206" i="5" s="1"/>
  <c r="P205" i="5"/>
  <c r="S205" i="5" s="1"/>
  <c r="O205" i="5"/>
  <c r="Q204" i="5"/>
  <c r="R204" i="5" s="1"/>
  <c r="O204" i="5"/>
  <c r="P204" i="5" s="1"/>
  <c r="S204" i="5" s="1"/>
  <c r="O203" i="5"/>
  <c r="P203" i="5" s="1"/>
  <c r="O202" i="5"/>
  <c r="P202" i="5" s="1"/>
  <c r="O201" i="5"/>
  <c r="P201" i="5" s="1"/>
  <c r="S201" i="5" s="1"/>
  <c r="O200" i="5"/>
  <c r="P200" i="5" s="1"/>
  <c r="O199" i="5"/>
  <c r="P199" i="5" s="1"/>
  <c r="S198" i="5"/>
  <c r="O198" i="5"/>
  <c r="P198" i="5" s="1"/>
  <c r="Q198" i="5" s="1"/>
  <c r="R198" i="5" s="1"/>
  <c r="P197" i="5"/>
  <c r="S197" i="5" s="1"/>
  <c r="O197" i="5"/>
  <c r="O196" i="5"/>
  <c r="P196" i="5" s="1"/>
  <c r="S196" i="5" s="1"/>
  <c r="O195" i="5"/>
  <c r="P195" i="5" s="1"/>
  <c r="O194" i="5"/>
  <c r="P194" i="5" s="1"/>
  <c r="S193" i="5"/>
  <c r="O193" i="5"/>
  <c r="P193" i="5" s="1"/>
  <c r="Q193" i="5" s="1"/>
  <c r="R193" i="5" s="1"/>
  <c r="O192" i="5"/>
  <c r="P192" i="5" s="1"/>
  <c r="O191" i="5"/>
  <c r="P191" i="5" s="1"/>
  <c r="S190" i="5"/>
  <c r="O190" i="5"/>
  <c r="P190" i="5" s="1"/>
  <c r="Q190" i="5" s="1"/>
  <c r="R190" i="5" s="1"/>
  <c r="P189" i="5"/>
  <c r="S189" i="5" s="1"/>
  <c r="O189" i="5"/>
  <c r="O188" i="5"/>
  <c r="P188" i="5" s="1"/>
  <c r="S188" i="5" s="1"/>
  <c r="O187" i="5"/>
  <c r="P187" i="5" s="1"/>
  <c r="O186" i="5"/>
  <c r="P186" i="5" s="1"/>
  <c r="O185" i="5"/>
  <c r="P185" i="5" s="1"/>
  <c r="S185" i="5" s="1"/>
  <c r="O184" i="5"/>
  <c r="P184" i="5" s="1"/>
  <c r="O183" i="5"/>
  <c r="P183" i="5" s="1"/>
  <c r="O182" i="5"/>
  <c r="P182" i="5" s="1"/>
  <c r="Q182" i="5" s="1"/>
  <c r="R182" i="5" s="1"/>
  <c r="P181" i="5"/>
  <c r="S181" i="5" s="1"/>
  <c r="O181" i="5"/>
  <c r="Q180" i="5"/>
  <c r="R180" i="5" s="1"/>
  <c r="O180" i="5"/>
  <c r="P180" i="5" s="1"/>
  <c r="S180" i="5" s="1"/>
  <c r="O179" i="5"/>
  <c r="P179" i="5" s="1"/>
  <c r="O178" i="5"/>
  <c r="P178" i="5" s="1"/>
  <c r="S177" i="5"/>
  <c r="O177" i="5"/>
  <c r="P177" i="5" s="1"/>
  <c r="Q177" i="5" s="1"/>
  <c r="R177" i="5" s="1"/>
  <c r="O176" i="5"/>
  <c r="P176" i="5" s="1"/>
  <c r="O175" i="5"/>
  <c r="P175" i="5" s="1"/>
  <c r="S174" i="5"/>
  <c r="O174" i="5"/>
  <c r="P174" i="5" s="1"/>
  <c r="Q174" i="5" s="1"/>
  <c r="R174" i="5" s="1"/>
  <c r="O173" i="5"/>
  <c r="P173" i="5" s="1"/>
  <c r="O172" i="5"/>
  <c r="P172" i="5" s="1"/>
  <c r="S172" i="5" s="1"/>
  <c r="O171" i="5"/>
  <c r="P171" i="5" s="1"/>
  <c r="O170" i="5"/>
  <c r="P170" i="5" s="1"/>
  <c r="S169" i="5"/>
  <c r="O169" i="5"/>
  <c r="P169" i="5" s="1"/>
  <c r="Q169" i="5" s="1"/>
  <c r="R169" i="5" s="1"/>
  <c r="O168" i="5"/>
  <c r="P168" i="5" s="1"/>
  <c r="O167" i="5"/>
  <c r="P167" i="5" s="1"/>
  <c r="O166" i="5"/>
  <c r="P166" i="5" s="1"/>
  <c r="Q166" i="5" s="1"/>
  <c r="R166" i="5" s="1"/>
  <c r="O165" i="5"/>
  <c r="P165" i="5" s="1"/>
  <c r="O164" i="5"/>
  <c r="P164" i="5" s="1"/>
  <c r="S164" i="5" s="1"/>
  <c r="O163" i="5"/>
  <c r="P163" i="5" s="1"/>
  <c r="O162" i="5"/>
  <c r="P162" i="5" s="1"/>
  <c r="Q161" i="5"/>
  <c r="R161" i="5" s="1"/>
  <c r="O161" i="5"/>
  <c r="P161" i="5" s="1"/>
  <c r="S161" i="5" s="1"/>
  <c r="O160" i="5"/>
  <c r="P160" i="5" s="1"/>
  <c r="O159" i="5"/>
  <c r="P159" i="5" s="1"/>
  <c r="O158" i="5"/>
  <c r="P158" i="5" s="1"/>
  <c r="Q158" i="5" s="1"/>
  <c r="R158" i="5" s="1"/>
  <c r="O157" i="5"/>
  <c r="P157" i="5" s="1"/>
  <c r="Q156" i="5"/>
  <c r="R156" i="5" s="1"/>
  <c r="O156" i="5"/>
  <c r="P156" i="5" s="1"/>
  <c r="S156" i="5" s="1"/>
  <c r="O155" i="5"/>
  <c r="P155" i="5" s="1"/>
  <c r="O154" i="5"/>
  <c r="P154" i="5" s="1"/>
  <c r="Q153" i="5"/>
  <c r="R153" i="5" s="1"/>
  <c r="O153" i="5"/>
  <c r="P153" i="5" s="1"/>
  <c r="S153" i="5" s="1"/>
  <c r="O152" i="5"/>
  <c r="P152" i="5" s="1"/>
  <c r="O151" i="5"/>
  <c r="P151" i="5" s="1"/>
  <c r="S150" i="5"/>
  <c r="O150" i="5"/>
  <c r="P150" i="5" s="1"/>
  <c r="Q150" i="5" s="1"/>
  <c r="R150" i="5" s="1"/>
  <c r="O149" i="5"/>
  <c r="P149" i="5" s="1"/>
  <c r="Q148" i="5"/>
  <c r="R148" i="5" s="1"/>
  <c r="O148" i="5"/>
  <c r="P148" i="5" s="1"/>
  <c r="S148" i="5" s="1"/>
  <c r="O147" i="5"/>
  <c r="P147" i="5" s="1"/>
  <c r="O146" i="5"/>
  <c r="P146" i="5" s="1"/>
  <c r="S145" i="5"/>
  <c r="O145" i="5"/>
  <c r="P145" i="5" s="1"/>
  <c r="Q145" i="5" s="1"/>
  <c r="R145" i="5" s="1"/>
  <c r="O144" i="5"/>
  <c r="P144" i="5" s="1"/>
  <c r="O143" i="5"/>
  <c r="P143" i="5" s="1"/>
  <c r="S142" i="5"/>
  <c r="O142" i="5"/>
  <c r="P142" i="5" s="1"/>
  <c r="Q142" i="5" s="1"/>
  <c r="R142" i="5" s="1"/>
  <c r="O141" i="5"/>
  <c r="P141" i="5" s="1"/>
  <c r="O140" i="5"/>
  <c r="P140" i="5" s="1"/>
  <c r="S140" i="5" s="1"/>
  <c r="O139" i="5"/>
  <c r="P139" i="5" s="1"/>
  <c r="O138" i="5"/>
  <c r="P138" i="5" s="1"/>
  <c r="S137" i="5"/>
  <c r="O137" i="5"/>
  <c r="P137" i="5" s="1"/>
  <c r="Q137" i="5" s="1"/>
  <c r="R137" i="5" s="1"/>
  <c r="O136" i="5"/>
  <c r="P136" i="5" s="1"/>
  <c r="O135" i="5"/>
  <c r="P135" i="5" s="1"/>
  <c r="O134" i="5"/>
  <c r="P134" i="5" s="1"/>
  <c r="Q134" i="5" s="1"/>
  <c r="R134" i="5" s="1"/>
  <c r="O133" i="5"/>
  <c r="P133" i="5" s="1"/>
  <c r="O132" i="5"/>
  <c r="P132" i="5" s="1"/>
  <c r="S132" i="5" s="1"/>
  <c r="O131" i="5"/>
  <c r="P131" i="5" s="1"/>
  <c r="O130" i="5"/>
  <c r="P130" i="5" s="1"/>
  <c r="Q129" i="5"/>
  <c r="R129" i="5" s="1"/>
  <c r="O129" i="5"/>
  <c r="P129" i="5" s="1"/>
  <c r="S129" i="5" s="1"/>
  <c r="O128" i="5"/>
  <c r="P128" i="5" s="1"/>
  <c r="O127" i="5"/>
  <c r="P127" i="5" s="1"/>
  <c r="O126" i="5"/>
  <c r="P126" i="5" s="1"/>
  <c r="Q126" i="5" s="1"/>
  <c r="R126" i="5" s="1"/>
  <c r="O125" i="5"/>
  <c r="P125" i="5" s="1"/>
  <c r="Q124" i="5"/>
  <c r="R124" i="5" s="1"/>
  <c r="O124" i="5"/>
  <c r="P124" i="5" s="1"/>
  <c r="S124" i="5" s="1"/>
  <c r="O123" i="5"/>
  <c r="P123" i="5" s="1"/>
  <c r="O122" i="5"/>
  <c r="P122" i="5" s="1"/>
  <c r="Q121" i="5"/>
  <c r="R121" i="5" s="1"/>
  <c r="O121" i="5"/>
  <c r="P121" i="5" s="1"/>
  <c r="S121" i="5" s="1"/>
  <c r="O120" i="5"/>
  <c r="P120" i="5" s="1"/>
  <c r="O119" i="5"/>
  <c r="P119" i="5" s="1"/>
  <c r="S118" i="5"/>
  <c r="Q118" i="5"/>
  <c r="R118" i="5" s="1"/>
  <c r="O118" i="5"/>
  <c r="P118" i="5" s="1"/>
  <c r="O117" i="5"/>
  <c r="P117" i="5" s="1"/>
  <c r="O116" i="5"/>
  <c r="P116" i="5" s="1"/>
  <c r="S116" i="5" s="1"/>
  <c r="O115" i="5"/>
  <c r="P115" i="5" s="1"/>
  <c r="Q115" i="5" s="1"/>
  <c r="R115" i="5" s="1"/>
  <c r="O114" i="5"/>
  <c r="P114" i="5" s="1"/>
  <c r="Q113" i="5"/>
  <c r="R113" i="5" s="1"/>
  <c r="O113" i="5"/>
  <c r="P113" i="5" s="1"/>
  <c r="S113" i="5" s="1"/>
  <c r="O112" i="5"/>
  <c r="P112" i="5" s="1"/>
  <c r="O111" i="5"/>
  <c r="P111" i="5" s="1"/>
  <c r="O110" i="5"/>
  <c r="P110" i="5" s="1"/>
  <c r="S110" i="5" s="1"/>
  <c r="O109" i="5"/>
  <c r="P109" i="5" s="1"/>
  <c r="O108" i="5"/>
  <c r="P108" i="5" s="1"/>
  <c r="S108" i="5" s="1"/>
  <c r="O107" i="5"/>
  <c r="P107" i="5" s="1"/>
  <c r="Q107" i="5" s="1"/>
  <c r="R107" i="5" s="1"/>
  <c r="O106" i="5"/>
  <c r="P106" i="5" s="1"/>
  <c r="O105" i="5"/>
  <c r="P105" i="5" s="1"/>
  <c r="S105" i="5" s="1"/>
  <c r="O104" i="5"/>
  <c r="P104" i="5" s="1"/>
  <c r="O103" i="5"/>
  <c r="P103" i="5" s="1"/>
  <c r="S102" i="5"/>
  <c r="Q102" i="5"/>
  <c r="R102" i="5" s="1"/>
  <c r="O102" i="5"/>
  <c r="P102" i="5" s="1"/>
  <c r="O101" i="5"/>
  <c r="P101" i="5" s="1"/>
  <c r="Q100" i="5"/>
  <c r="R100" i="5" s="1"/>
  <c r="O100" i="5"/>
  <c r="P100" i="5" s="1"/>
  <c r="S100" i="5" s="1"/>
  <c r="O99" i="5"/>
  <c r="P99" i="5" s="1"/>
  <c r="Q99" i="5" s="1"/>
  <c r="R99" i="5" s="1"/>
  <c r="O98" i="5"/>
  <c r="P98" i="5" s="1"/>
  <c r="S97" i="5"/>
  <c r="O97" i="5"/>
  <c r="P97" i="5" s="1"/>
  <c r="Q97" i="5" s="1"/>
  <c r="R97" i="5" s="1"/>
  <c r="O96" i="5"/>
  <c r="P96" i="5" s="1"/>
  <c r="O95" i="5"/>
  <c r="P95" i="5" s="1"/>
  <c r="O94" i="5"/>
  <c r="P94" i="5" s="1"/>
  <c r="S94" i="5" s="1"/>
  <c r="O93" i="5"/>
  <c r="P93" i="5" s="1"/>
  <c r="O92" i="5"/>
  <c r="P92" i="5" s="1"/>
  <c r="S92" i="5" s="1"/>
  <c r="S91" i="5"/>
  <c r="O91" i="5"/>
  <c r="P91" i="5" s="1"/>
  <c r="Q91" i="5" s="1"/>
  <c r="R91" i="5" s="1"/>
  <c r="O90" i="5"/>
  <c r="P90" i="5" s="1"/>
  <c r="S89" i="5"/>
  <c r="O89" i="5"/>
  <c r="P89" i="5" s="1"/>
  <c r="Q89" i="5" s="1"/>
  <c r="R89" i="5" s="1"/>
  <c r="O88" i="5"/>
  <c r="P88" i="5" s="1"/>
  <c r="O87" i="5"/>
  <c r="P87" i="5" s="1"/>
  <c r="O86" i="5"/>
  <c r="P86" i="5" s="1"/>
  <c r="S86" i="5" s="1"/>
  <c r="O85" i="5"/>
  <c r="P85" i="5" s="1"/>
  <c r="Q84" i="5"/>
  <c r="R84" i="5" s="1"/>
  <c r="O84" i="5"/>
  <c r="P84" i="5" s="1"/>
  <c r="S84" i="5" s="1"/>
  <c r="O83" i="5"/>
  <c r="P83" i="5" s="1"/>
  <c r="Q83" i="5" s="1"/>
  <c r="R83" i="5" s="1"/>
  <c r="O82" i="5"/>
  <c r="P82" i="5" s="1"/>
  <c r="O81" i="5"/>
  <c r="P81" i="5" s="1"/>
  <c r="S81" i="5" s="1"/>
  <c r="O80" i="5"/>
  <c r="P80" i="5" s="1"/>
  <c r="O79" i="5"/>
  <c r="P79" i="5" s="1"/>
  <c r="S78" i="5"/>
  <c r="Q78" i="5"/>
  <c r="R78" i="5" s="1"/>
  <c r="O78" i="5"/>
  <c r="P78" i="5" s="1"/>
  <c r="O77" i="5"/>
  <c r="P77" i="5" s="1"/>
  <c r="Q76" i="5"/>
  <c r="R76" i="5" s="1"/>
  <c r="O76" i="5"/>
  <c r="P76" i="5" s="1"/>
  <c r="S76" i="5" s="1"/>
  <c r="S75" i="5"/>
  <c r="O75" i="5"/>
  <c r="P75" i="5" s="1"/>
  <c r="Q75" i="5" s="1"/>
  <c r="R75" i="5" s="1"/>
  <c r="O74" i="5"/>
  <c r="P74" i="5" s="1"/>
  <c r="O73" i="5"/>
  <c r="P73" i="5" s="1"/>
  <c r="S73" i="5" s="1"/>
  <c r="O72" i="5"/>
  <c r="P72" i="5" s="1"/>
  <c r="O71" i="5"/>
  <c r="P71" i="5" s="1"/>
  <c r="Q70" i="5"/>
  <c r="R70" i="5" s="1"/>
  <c r="O70" i="5"/>
  <c r="P70" i="5" s="1"/>
  <c r="S70" i="5" s="1"/>
  <c r="Q69" i="5"/>
  <c r="R69" i="5" s="1"/>
  <c r="O69" i="5"/>
  <c r="P69" i="5" s="1"/>
  <c r="S69" i="5" s="1"/>
  <c r="O68" i="5"/>
  <c r="P68" i="5" s="1"/>
  <c r="S68" i="5" s="1"/>
  <c r="Q67" i="5"/>
  <c r="R67" i="5" s="1"/>
  <c r="O67" i="5"/>
  <c r="P67" i="5" s="1"/>
  <c r="S67" i="5" s="1"/>
  <c r="O66" i="5"/>
  <c r="P66" i="5" s="1"/>
  <c r="Q66" i="5" s="1"/>
  <c r="R66" i="5" s="1"/>
  <c r="S65" i="5"/>
  <c r="Q65" i="5"/>
  <c r="R65" i="5" s="1"/>
  <c r="O65" i="5"/>
  <c r="P65" i="5" s="1"/>
  <c r="S64" i="5"/>
  <c r="O64" i="5"/>
  <c r="P64" i="5" s="1"/>
  <c r="Q64" i="5" s="1"/>
  <c r="R64" i="5" s="1"/>
  <c r="O63" i="5"/>
  <c r="P63" i="5" s="1"/>
  <c r="S62" i="5"/>
  <c r="Q62" i="5"/>
  <c r="R62" i="5" s="1"/>
  <c r="O62" i="5"/>
  <c r="P62" i="5" s="1"/>
  <c r="O61" i="5"/>
  <c r="P61" i="5" s="1"/>
  <c r="S61" i="5" s="1"/>
  <c r="O60" i="5"/>
  <c r="P60" i="5" s="1"/>
  <c r="S60" i="5" s="1"/>
  <c r="O59" i="5"/>
  <c r="P59" i="5" s="1"/>
  <c r="S59" i="5" s="1"/>
  <c r="O58" i="5"/>
  <c r="P58" i="5" s="1"/>
  <c r="Q58" i="5" s="1"/>
  <c r="R58" i="5" s="1"/>
  <c r="S57" i="5"/>
  <c r="Q57" i="5"/>
  <c r="R57" i="5" s="1"/>
  <c r="O57" i="5"/>
  <c r="P57" i="5" s="1"/>
  <c r="S56" i="5"/>
  <c r="O56" i="5"/>
  <c r="P56" i="5" s="1"/>
  <c r="Q56" i="5" s="1"/>
  <c r="R56" i="5" s="1"/>
  <c r="O55" i="5"/>
  <c r="P55" i="5" s="1"/>
  <c r="O54" i="5"/>
  <c r="P54" i="5" s="1"/>
  <c r="S54" i="5" s="1"/>
  <c r="O53" i="5"/>
  <c r="P53" i="5" s="1"/>
  <c r="S53" i="5" s="1"/>
  <c r="Q52" i="5"/>
  <c r="R52" i="5" s="1"/>
  <c r="O52" i="5"/>
  <c r="P52" i="5" s="1"/>
  <c r="S52" i="5" s="1"/>
  <c r="O51" i="5"/>
  <c r="P51" i="5" s="1"/>
  <c r="S51" i="5" s="1"/>
  <c r="S50" i="5"/>
  <c r="Q50" i="5"/>
  <c r="R50" i="5" s="1"/>
  <c r="O50" i="5"/>
  <c r="P50" i="5" s="1"/>
  <c r="O49" i="5"/>
  <c r="P49" i="5" s="1"/>
  <c r="S49" i="5" s="1"/>
  <c r="O48" i="5"/>
  <c r="P48" i="5" s="1"/>
  <c r="Q48" i="5" s="1"/>
  <c r="R48" i="5" s="1"/>
  <c r="S47" i="5"/>
  <c r="O47" i="5"/>
  <c r="P47" i="5" s="1"/>
  <c r="Q47" i="5" s="1"/>
  <c r="R47" i="5" s="1"/>
  <c r="S46" i="5"/>
  <c r="Q46" i="5"/>
  <c r="R46" i="5" s="1"/>
  <c r="O46" i="5"/>
  <c r="P46" i="5" s="1"/>
  <c r="O45" i="5"/>
  <c r="P45" i="5" s="1"/>
  <c r="S45" i="5" s="1"/>
  <c r="O44" i="5"/>
  <c r="P44" i="5" s="1"/>
  <c r="S44" i="5" s="1"/>
  <c r="Q43" i="5"/>
  <c r="R43" i="5" s="1"/>
  <c r="O43" i="5"/>
  <c r="P43" i="5" s="1"/>
  <c r="S43" i="5" s="1"/>
  <c r="S42" i="5"/>
  <c r="O42" i="5"/>
  <c r="P42" i="5" s="1"/>
  <c r="Q42" i="5" s="1"/>
  <c r="R42" i="5" s="1"/>
  <c r="O41" i="5"/>
  <c r="P41" i="5" s="1"/>
  <c r="S41" i="5" s="1"/>
  <c r="O40" i="5"/>
  <c r="P40" i="5" s="1"/>
  <c r="S40" i="5" s="1"/>
  <c r="O39" i="5"/>
  <c r="P39" i="5" s="1"/>
  <c r="Q39" i="5" s="1"/>
  <c r="R39" i="5" s="1"/>
  <c r="S38" i="5"/>
  <c r="Q38" i="5"/>
  <c r="R38" i="5" s="1"/>
  <c r="O38" i="5"/>
  <c r="P38" i="5" s="1"/>
  <c r="O37" i="5"/>
  <c r="P37" i="5" s="1"/>
  <c r="S37" i="5" s="1"/>
  <c r="O36" i="5"/>
  <c r="P36" i="5" s="1"/>
  <c r="S36" i="5" s="1"/>
  <c r="O35" i="5"/>
  <c r="P35" i="5" s="1"/>
  <c r="S35" i="5" s="1"/>
  <c r="O34" i="5"/>
  <c r="P34" i="5" s="1"/>
  <c r="S34" i="5" s="1"/>
  <c r="S33" i="5"/>
  <c r="Q33" i="5"/>
  <c r="R33" i="5" s="1"/>
  <c r="O33" i="5"/>
  <c r="P33" i="5" s="1"/>
  <c r="S32" i="5"/>
  <c r="O32" i="5"/>
  <c r="P32" i="5" s="1"/>
  <c r="Q32" i="5" s="1"/>
  <c r="R32" i="5" s="1"/>
  <c r="O31" i="5"/>
  <c r="P31" i="5" s="1"/>
  <c r="Q31" i="5" s="1"/>
  <c r="R31" i="5" s="1"/>
  <c r="O30" i="5"/>
  <c r="P30" i="5" s="1"/>
  <c r="S30" i="5" s="1"/>
  <c r="Q29" i="5"/>
  <c r="R29" i="5" s="1"/>
  <c r="O29" i="5"/>
  <c r="P29" i="5" s="1"/>
  <c r="S29" i="5" s="1"/>
  <c r="O28" i="5"/>
  <c r="P28" i="5" s="1"/>
  <c r="S28" i="5" s="1"/>
  <c r="Q27" i="5"/>
  <c r="R27" i="5" s="1"/>
  <c r="O27" i="5"/>
  <c r="P27" i="5" s="1"/>
  <c r="S27" i="5" s="1"/>
  <c r="S26" i="5"/>
  <c r="O26" i="5"/>
  <c r="P26" i="5" s="1"/>
  <c r="Q26" i="5" s="1"/>
  <c r="R26" i="5" s="1"/>
  <c r="S25" i="5"/>
  <c r="Q25" i="5"/>
  <c r="R25" i="5" s="1"/>
  <c r="O25" i="5"/>
  <c r="P25" i="5" s="1"/>
  <c r="S24" i="5"/>
  <c r="Q24" i="5"/>
  <c r="R24" i="5" s="1"/>
  <c r="O24" i="5"/>
  <c r="P24" i="5" s="1"/>
  <c r="S23" i="5"/>
  <c r="O23" i="5"/>
  <c r="P23" i="5" s="1"/>
  <c r="Q23" i="5" s="1"/>
  <c r="R23" i="5" s="1"/>
  <c r="Q22" i="5"/>
  <c r="R22" i="5" s="1"/>
  <c r="O22" i="5"/>
  <c r="P22" i="5" s="1"/>
  <c r="S22" i="5" s="1"/>
  <c r="O21" i="5"/>
  <c r="P21" i="5" s="1"/>
  <c r="S21" i="5" s="1"/>
  <c r="O20" i="5"/>
  <c r="P20" i="5" s="1"/>
  <c r="S20" i="5" s="1"/>
  <c r="S19" i="5"/>
  <c r="Q19" i="5"/>
  <c r="R19" i="5" s="1"/>
  <c r="O19" i="5"/>
  <c r="P19" i="5" s="1"/>
  <c r="S18" i="5"/>
  <c r="Q18" i="5"/>
  <c r="R18" i="5" s="1"/>
  <c r="O18" i="5"/>
  <c r="P18" i="5" s="1"/>
  <c r="S17" i="5"/>
  <c r="Q17" i="5"/>
  <c r="R17" i="5" s="1"/>
  <c r="O17" i="5"/>
  <c r="P17" i="5" s="1"/>
  <c r="O16" i="5"/>
  <c r="P16" i="5" s="1"/>
  <c r="S16" i="5" s="1"/>
  <c r="O15" i="5"/>
  <c r="P15" i="5" s="1"/>
  <c r="Q15" i="5" s="1"/>
  <c r="R15" i="5" s="1"/>
  <c r="Q14" i="5"/>
  <c r="R14" i="5" s="1"/>
  <c r="O14" i="5"/>
  <c r="P14" i="5" s="1"/>
  <c r="S14" i="5" s="1"/>
  <c r="S13" i="5"/>
  <c r="O13" i="5"/>
  <c r="P13" i="5" s="1"/>
  <c r="Q13" i="5" s="1"/>
  <c r="R13" i="5" s="1"/>
  <c r="Q12" i="5"/>
  <c r="R12" i="5" s="1"/>
  <c r="O12" i="5"/>
  <c r="P12" i="5" s="1"/>
  <c r="S12" i="5" s="1"/>
  <c r="S11" i="5"/>
  <c r="Q11" i="5"/>
  <c r="R11" i="5" s="1"/>
  <c r="O11" i="5"/>
  <c r="P11" i="5" s="1"/>
  <c r="O10" i="5"/>
  <c r="P10" i="5" s="1"/>
  <c r="S10" i="5" s="1"/>
  <c r="S9" i="5"/>
  <c r="Q9" i="5"/>
  <c r="R9" i="5" s="1"/>
  <c r="O9" i="5"/>
  <c r="P9" i="5" s="1"/>
  <c r="O8" i="5"/>
  <c r="P8" i="5" s="1"/>
  <c r="S8" i="5" s="1"/>
  <c r="O7" i="5"/>
  <c r="P7" i="5" s="1"/>
  <c r="Q7" i="5" s="1"/>
  <c r="R7" i="5" s="1"/>
  <c r="O6" i="5"/>
  <c r="P6" i="5" s="1"/>
  <c r="S6" i="5" s="1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R3" i="1"/>
  <c r="R4" i="1" s="1"/>
  <c r="T1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224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6" i="1"/>
  <c r="B3" i="1"/>
  <c r="C3" i="1"/>
  <c r="D3" i="1"/>
  <c r="E3" i="1"/>
  <c r="F3" i="1"/>
  <c r="G3" i="1"/>
  <c r="H3" i="1"/>
  <c r="I3" i="1"/>
  <c r="J3" i="1"/>
  <c r="K3" i="1"/>
  <c r="L3" i="1"/>
  <c r="M3" i="1"/>
  <c r="N3" i="1"/>
  <c r="A3" i="1"/>
  <c r="R3" i="5" l="1"/>
  <c r="R4" i="5" s="1"/>
  <c r="S112" i="5"/>
  <c r="Q112" i="5"/>
  <c r="R112" i="5" s="1"/>
  <c r="S71" i="5"/>
  <c r="Q71" i="5"/>
  <c r="R71" i="5" s="1"/>
  <c r="S117" i="5"/>
  <c r="Q117" i="5"/>
  <c r="R117" i="5" s="1"/>
  <c r="S127" i="5"/>
  <c r="Q127" i="5"/>
  <c r="R127" i="5" s="1"/>
  <c r="S159" i="5"/>
  <c r="Q159" i="5"/>
  <c r="R159" i="5" s="1"/>
  <c r="S200" i="5"/>
  <c r="Q200" i="5"/>
  <c r="R200" i="5" s="1"/>
  <c r="S15" i="5"/>
  <c r="Q21" i="5"/>
  <c r="R21" i="5" s="1"/>
  <c r="Q44" i="5"/>
  <c r="R44" i="5" s="1"/>
  <c r="S72" i="5"/>
  <c r="Q72" i="5"/>
  <c r="R72" i="5" s="1"/>
  <c r="Q81" i="5"/>
  <c r="R81" i="5" s="1"/>
  <c r="S90" i="5"/>
  <c r="Q90" i="5"/>
  <c r="R90" i="5" s="1"/>
  <c r="S99" i="5"/>
  <c r="Q108" i="5"/>
  <c r="R108" i="5" s="1"/>
  <c r="S128" i="5"/>
  <c r="Q128" i="5"/>
  <c r="R128" i="5" s="1"/>
  <c r="S138" i="5"/>
  <c r="Q138" i="5"/>
  <c r="R138" i="5" s="1"/>
  <c r="S149" i="5"/>
  <c r="Q149" i="5"/>
  <c r="R149" i="5" s="1"/>
  <c r="S160" i="5"/>
  <c r="Q160" i="5"/>
  <c r="R160" i="5" s="1"/>
  <c r="S170" i="5"/>
  <c r="Q170" i="5"/>
  <c r="R170" i="5" s="1"/>
  <c r="S210" i="5"/>
  <c r="Q210" i="5"/>
  <c r="R210" i="5" s="1"/>
  <c r="S109" i="5"/>
  <c r="Q109" i="5"/>
  <c r="R109" i="5" s="1"/>
  <c r="S139" i="5"/>
  <c r="Q139" i="5"/>
  <c r="R139" i="5" s="1"/>
  <c r="S171" i="5"/>
  <c r="Q171" i="5"/>
  <c r="R171" i="5" s="1"/>
  <c r="S191" i="5"/>
  <c r="Q191" i="5"/>
  <c r="R191" i="5" s="1"/>
  <c r="Q201" i="5"/>
  <c r="R201" i="5" s="1"/>
  <c r="S211" i="5"/>
  <c r="Q211" i="5"/>
  <c r="R211" i="5" s="1"/>
  <c r="Q10" i="5"/>
  <c r="R10" i="5" s="1"/>
  <c r="Q16" i="5"/>
  <c r="R16" i="5" s="1"/>
  <c r="S39" i="5"/>
  <c r="Q45" i="5"/>
  <c r="R45" i="5" s="1"/>
  <c r="Q51" i="5"/>
  <c r="R51" i="5" s="1"/>
  <c r="S58" i="5"/>
  <c r="Q73" i="5"/>
  <c r="R73" i="5" s="1"/>
  <c r="S82" i="5"/>
  <c r="Q82" i="5"/>
  <c r="R82" i="5" s="1"/>
  <c r="S192" i="5"/>
  <c r="Q192" i="5"/>
  <c r="R192" i="5" s="1"/>
  <c r="S101" i="5"/>
  <c r="Q101" i="5"/>
  <c r="R101" i="5" s="1"/>
  <c r="Q110" i="5"/>
  <c r="R110" i="5" s="1"/>
  <c r="S119" i="5"/>
  <c r="Q119" i="5"/>
  <c r="R119" i="5" s="1"/>
  <c r="Q140" i="5"/>
  <c r="R140" i="5" s="1"/>
  <c r="S151" i="5"/>
  <c r="Q151" i="5"/>
  <c r="R151" i="5" s="1"/>
  <c r="Q172" i="5"/>
  <c r="R172" i="5" s="1"/>
  <c r="S182" i="5"/>
  <c r="S202" i="5"/>
  <c r="Q202" i="5"/>
  <c r="R202" i="5" s="1"/>
  <c r="Q212" i="5"/>
  <c r="R212" i="5" s="1"/>
  <c r="Q28" i="5"/>
  <c r="R28" i="5" s="1"/>
  <c r="Q34" i="5"/>
  <c r="R34" i="5" s="1"/>
  <c r="Q40" i="5"/>
  <c r="R40" i="5" s="1"/>
  <c r="Q59" i="5"/>
  <c r="R59" i="5" s="1"/>
  <c r="S66" i="5"/>
  <c r="S74" i="5"/>
  <c r="Q74" i="5"/>
  <c r="R74" i="5" s="1"/>
  <c r="S83" i="5"/>
  <c r="Q92" i="5"/>
  <c r="R92" i="5" s="1"/>
  <c r="S120" i="5"/>
  <c r="Q120" i="5"/>
  <c r="R120" i="5" s="1"/>
  <c r="S130" i="5"/>
  <c r="Q130" i="5"/>
  <c r="R130" i="5" s="1"/>
  <c r="S141" i="5"/>
  <c r="Q141" i="5"/>
  <c r="R141" i="5" s="1"/>
  <c r="S152" i="5"/>
  <c r="Q152" i="5"/>
  <c r="R152" i="5" s="1"/>
  <c r="S162" i="5"/>
  <c r="Q162" i="5"/>
  <c r="R162" i="5" s="1"/>
  <c r="S173" i="5"/>
  <c r="Q173" i="5"/>
  <c r="R173" i="5" s="1"/>
  <c r="S183" i="5"/>
  <c r="Q183" i="5"/>
  <c r="R183" i="5" s="1"/>
  <c r="S203" i="5"/>
  <c r="Q203" i="5"/>
  <c r="R203" i="5" s="1"/>
  <c r="S93" i="5"/>
  <c r="Q93" i="5"/>
  <c r="R93" i="5" s="1"/>
  <c r="S111" i="5"/>
  <c r="Q111" i="5"/>
  <c r="R111" i="5" s="1"/>
  <c r="S131" i="5"/>
  <c r="Q131" i="5"/>
  <c r="R131" i="5" s="1"/>
  <c r="S163" i="5"/>
  <c r="Q163" i="5"/>
  <c r="R163" i="5" s="1"/>
  <c r="S184" i="5"/>
  <c r="Q184" i="5"/>
  <c r="R184" i="5" s="1"/>
  <c r="Q6" i="5"/>
  <c r="R6" i="5" s="1"/>
  <c r="Q35" i="5"/>
  <c r="R35" i="5" s="1"/>
  <c r="Q41" i="5"/>
  <c r="R41" i="5" s="1"/>
  <c r="Q53" i="5"/>
  <c r="R53" i="5" s="1"/>
  <c r="Q60" i="5"/>
  <c r="R60" i="5" s="1"/>
  <c r="S85" i="5"/>
  <c r="Q85" i="5"/>
  <c r="R85" i="5" s="1"/>
  <c r="Q94" i="5"/>
  <c r="R94" i="5" s="1"/>
  <c r="S103" i="5"/>
  <c r="Q103" i="5"/>
  <c r="R103" i="5" s="1"/>
  <c r="Q132" i="5"/>
  <c r="R132" i="5" s="1"/>
  <c r="S143" i="5"/>
  <c r="Q143" i="5"/>
  <c r="R143" i="5" s="1"/>
  <c r="Q164" i="5"/>
  <c r="R164" i="5" s="1"/>
  <c r="S175" i="5"/>
  <c r="Q175" i="5"/>
  <c r="R175" i="5" s="1"/>
  <c r="Q185" i="5"/>
  <c r="R185" i="5" s="1"/>
  <c r="S195" i="5"/>
  <c r="Q195" i="5"/>
  <c r="R195" i="5" s="1"/>
  <c r="S214" i="5"/>
  <c r="S104" i="5"/>
  <c r="Q104" i="5"/>
  <c r="R104" i="5" s="1"/>
  <c r="S122" i="5"/>
  <c r="Q122" i="5"/>
  <c r="R122" i="5" s="1"/>
  <c r="S133" i="5"/>
  <c r="Q133" i="5"/>
  <c r="R133" i="5" s="1"/>
  <c r="S144" i="5"/>
  <c r="Q144" i="5"/>
  <c r="R144" i="5" s="1"/>
  <c r="S154" i="5"/>
  <c r="Q154" i="5"/>
  <c r="R154" i="5" s="1"/>
  <c r="S165" i="5"/>
  <c r="Q165" i="5"/>
  <c r="R165" i="5" s="1"/>
  <c r="S176" i="5"/>
  <c r="Q176" i="5"/>
  <c r="R176" i="5" s="1"/>
  <c r="S215" i="5"/>
  <c r="Q215" i="5"/>
  <c r="R215" i="5" s="1"/>
  <c r="Q30" i="5"/>
  <c r="R30" i="5" s="1"/>
  <c r="Q54" i="5"/>
  <c r="R54" i="5" s="1"/>
  <c r="Q61" i="5"/>
  <c r="R61" i="5" s="1"/>
  <c r="Q68" i="5"/>
  <c r="R68" i="5" s="1"/>
  <c r="S77" i="5"/>
  <c r="Q77" i="5"/>
  <c r="R77" i="5" s="1"/>
  <c r="Q86" i="5"/>
  <c r="R86" i="5" s="1"/>
  <c r="S95" i="5"/>
  <c r="Q95" i="5"/>
  <c r="R95" i="5" s="1"/>
  <c r="S123" i="5"/>
  <c r="Q123" i="5"/>
  <c r="R123" i="5" s="1"/>
  <c r="S155" i="5"/>
  <c r="Q155" i="5"/>
  <c r="R155" i="5" s="1"/>
  <c r="S186" i="5"/>
  <c r="Q186" i="5"/>
  <c r="R186" i="5" s="1"/>
  <c r="Q196" i="5"/>
  <c r="R196" i="5" s="1"/>
  <c r="S216" i="5"/>
  <c r="Q216" i="5"/>
  <c r="R216" i="5" s="1"/>
  <c r="S7" i="5"/>
  <c r="T1" i="5" s="1"/>
  <c r="Q36" i="5"/>
  <c r="R36" i="5" s="1"/>
  <c r="S48" i="5"/>
  <c r="S96" i="5"/>
  <c r="Q96" i="5"/>
  <c r="R96" i="5" s="1"/>
  <c r="Q105" i="5"/>
  <c r="R105" i="5" s="1"/>
  <c r="S114" i="5"/>
  <c r="Q114" i="5"/>
  <c r="R114" i="5" s="1"/>
  <c r="S134" i="5"/>
  <c r="S166" i="5"/>
  <c r="S187" i="5"/>
  <c r="Q187" i="5"/>
  <c r="R187" i="5" s="1"/>
  <c r="S206" i="5"/>
  <c r="S55" i="5"/>
  <c r="Q55" i="5"/>
  <c r="R55" i="5" s="1"/>
  <c r="S87" i="5"/>
  <c r="Q87" i="5"/>
  <c r="R87" i="5" s="1"/>
  <c r="S135" i="5"/>
  <c r="Q135" i="5"/>
  <c r="R135" i="5" s="1"/>
  <c r="S167" i="5"/>
  <c r="Q167" i="5"/>
  <c r="R167" i="5" s="1"/>
  <c r="S207" i="5"/>
  <c r="Q207" i="5"/>
  <c r="R207" i="5" s="1"/>
  <c r="S194" i="5"/>
  <c r="Q194" i="5"/>
  <c r="R194" i="5" s="1"/>
  <c r="Q8" i="5"/>
  <c r="R8" i="5" s="1"/>
  <c r="S31" i="5"/>
  <c r="Q37" i="5"/>
  <c r="R37" i="5" s="1"/>
  <c r="Q49" i="5"/>
  <c r="R49" i="5" s="1"/>
  <c r="S88" i="5"/>
  <c r="Q88" i="5"/>
  <c r="R88" i="5" s="1"/>
  <c r="S106" i="5"/>
  <c r="Q106" i="5"/>
  <c r="R106" i="5" s="1"/>
  <c r="S115" i="5"/>
  <c r="S125" i="5"/>
  <c r="Q125" i="5"/>
  <c r="R125" i="5" s="1"/>
  <c r="S136" i="5"/>
  <c r="Q136" i="5"/>
  <c r="R136" i="5" s="1"/>
  <c r="S146" i="5"/>
  <c r="Q146" i="5"/>
  <c r="R146" i="5" s="1"/>
  <c r="S157" i="5"/>
  <c r="Q157" i="5"/>
  <c r="R157" i="5" s="1"/>
  <c r="S168" i="5"/>
  <c r="Q168" i="5"/>
  <c r="R168" i="5" s="1"/>
  <c r="S178" i="5"/>
  <c r="Q178" i="5"/>
  <c r="R178" i="5" s="1"/>
  <c r="Q188" i="5"/>
  <c r="R188" i="5" s="1"/>
  <c r="S208" i="5"/>
  <c r="Q208" i="5"/>
  <c r="R208" i="5" s="1"/>
  <c r="S63" i="5"/>
  <c r="Q63" i="5"/>
  <c r="R63" i="5" s="1"/>
  <c r="S79" i="5"/>
  <c r="Q79" i="5"/>
  <c r="R79" i="5" s="1"/>
  <c r="S147" i="5"/>
  <c r="Q147" i="5"/>
  <c r="R147" i="5" s="1"/>
  <c r="S179" i="5"/>
  <c r="Q179" i="5"/>
  <c r="R179" i="5" s="1"/>
  <c r="S218" i="5"/>
  <c r="Q218" i="5"/>
  <c r="R218" i="5" s="1"/>
  <c r="Q20" i="5"/>
  <c r="R20" i="5" s="1"/>
  <c r="S80" i="5"/>
  <c r="Q80" i="5"/>
  <c r="R80" i="5" s="1"/>
  <c r="S98" i="5"/>
  <c r="Q98" i="5"/>
  <c r="R98" i="5" s="1"/>
  <c r="S107" i="5"/>
  <c r="Q116" i="5"/>
  <c r="R116" i="5" s="1"/>
  <c r="S126" i="5"/>
  <c r="S158" i="5"/>
  <c r="S199" i="5"/>
  <c r="Q199" i="5"/>
  <c r="R199" i="5" s="1"/>
  <c r="S219" i="5"/>
  <c r="Q219" i="5"/>
  <c r="R219" i="5" s="1"/>
  <c r="Q181" i="5"/>
  <c r="R181" i="5" s="1"/>
  <c r="Q189" i="5"/>
  <c r="R189" i="5" s="1"/>
  <c r="Q197" i="5"/>
  <c r="R197" i="5" s="1"/>
  <c r="Q205" i="5"/>
  <c r="R205" i="5" s="1"/>
  <c r="Q213" i="5"/>
  <c r="R21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Heart-disease-processed-cleveland - Copy1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<sst xmlns="http://schemas.openxmlformats.org/spreadsheetml/2006/main" count="86" uniqueCount="40">
  <si>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</si>
  <si>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</si>
  <si>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</si>
  <si>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</si>
  <si>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</si>
  <si>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</si>
  <si>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</si>
  <si>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</si>
  <si>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</si>
  <si>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</si>
  <si>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</si>
  <si>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</si>
  <si>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</si>
  <si>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</si>
  <si>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</si>
  <si>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</si>
  <si>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</si>
  <si>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</si>
  <si>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</si>
  <si>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</si>
  <si>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</si>
  <si>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</si>
  <si>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</si>
  <si>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</si>
  <si>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</si>
  <si>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</si>
  <si>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</si>
  <si>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</si>
  <si>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m1x1+m2x2+…+b</t>
  </si>
  <si>
    <t>P(1)</t>
  </si>
  <si>
    <t>Validation/Test Dataset</t>
  </si>
  <si>
    <t>Actual Outcome</t>
  </si>
  <si>
    <t>Predicted Outcome</t>
  </si>
  <si>
    <t>Difference</t>
  </si>
  <si>
    <t>Likelyhood</t>
  </si>
  <si>
    <t>Ln(Likelyhood)</t>
  </si>
  <si>
    <t>Cross-validation Diff=</t>
  </si>
  <si>
    <t>Cross-validation Accuracy=</t>
  </si>
  <si>
    <t>To-maximize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</si>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</sst>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0" fontId="2" fillId="0" borderId="0" xfId="0" applyNumberFormat="1" applyFont="1"/>
    <xf numFmtId="0" fontId="3" fillId="2" borderId="0" xfId="0" applyFont="1" applyFill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276225</xdr:colOff>
      <xdr:row>0</xdr:row>
      <xdr:rowOff>66675</xdr:rowOff>
    </xdr:from>
    <xdr:to>
      <xdr:col>30</xdr:col>
      <xdr:colOff>57150</xdr:colOff>
      <xdr:row>11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925550" y="66675"/>
          <a:ext cx="4048125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s in A224:N306</a:t>
          </a:r>
        </a:p>
      </xdr:txBody>
    </xdr:sp>
    <xdr:clientData/>
  </xdr:twoCellAnchor>
  <xdr:twoCellAnchor>
    <xdr:from>
      <xdr:col>23</xdr:col>
      <xdr:colOff>171450</xdr:colOff>
      <xdr:row>12</xdr:row>
      <xdr:rowOff>142875</xdr:rowOff>
    </xdr:from>
    <xdr:to>
      <xdr:col>32</xdr:col>
      <xdr:colOff>371475</xdr:colOff>
      <xdr:row>47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820775" y="2428875"/>
          <a:ext cx="5686425" cy="661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180975</xdr:colOff>
      <xdr:row>9</xdr:row>
      <xdr:rowOff>57150</xdr:rowOff>
    </xdr:from>
    <xdr:to>
      <xdr:col>28</xdr:col>
      <xdr:colOff>571500</xdr:colOff>
      <xdr:row>20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3220700" y="1771650"/>
          <a:ext cx="4048125" cy="208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training data is in A6:N219</a:t>
          </a:r>
        </a:p>
        <a:p>
          <a:endParaRPr lang="en-US" sz="1100"/>
        </a:p>
        <a:p>
          <a:r>
            <a:rPr lang="en-US" sz="1100"/>
            <a:t>The validation/test data is in A224:N306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6"/>
  <sheetViews>
    <sheetView topLeftCell="A180" workbookViewId="0">
      <selection activeCell="R286" sqref="R286"/>
    </sheetView>
  </sheetViews>
  <sheetFormatPr defaultRowHeight="15" x14ac:dyDescent="0.25"/>
  <cols>
    <col min="1" max="1" width="7.5703125" customWidth="1"/>
    <col min="2" max="2" width="6.42578125" customWidth="1"/>
    <col min="3" max="3" width="6.85546875" customWidth="1"/>
    <col min="4" max="4" width="7.5703125" bestFit="1" customWidth="1"/>
    <col min="5" max="5" width="6.85546875" customWidth="1"/>
    <col min="6" max="6" width="5.42578125" customWidth="1"/>
    <col min="7" max="7" width="6.7109375" bestFit="1" customWidth="1"/>
    <col min="8" max="8" width="6.85546875" bestFit="1" customWidth="1"/>
    <col min="9" max="9" width="5.7109375" bestFit="1" customWidth="1"/>
    <col min="10" max="10" width="7.42578125" bestFit="1" customWidth="1"/>
    <col min="11" max="11" width="5.28515625" bestFit="1" customWidth="1"/>
    <col min="12" max="12" width="5.140625" customWidth="1"/>
    <col min="13" max="13" width="5.85546875" customWidth="1"/>
    <col min="14" max="14" width="15.28515625" bestFit="1" customWidth="1"/>
    <col min="15" max="15" width="16.140625" bestFit="1" customWidth="1"/>
    <col min="16" max="16" width="7.85546875" customWidth="1"/>
    <col min="17" max="17" width="24.85546875" bestFit="1" customWidth="1"/>
    <col min="18" max="18" width="10.42578125" bestFit="1" customWidth="1"/>
    <col min="19" max="19" width="12.42578125" bestFit="1" customWidth="1"/>
    <col min="20" max="20" width="14.28515625" bestFit="1" customWidth="1"/>
  </cols>
  <sheetData>
    <row r="1" spans="1:20" x14ac:dyDescent="0.25">
      <c r="A1" s="3">
        <v>13</v>
      </c>
      <c r="B1" s="3">
        <v>12</v>
      </c>
      <c r="C1" s="3">
        <v>11</v>
      </c>
      <c r="D1" s="3">
        <v>10</v>
      </c>
      <c r="E1" s="3">
        <v>9</v>
      </c>
      <c r="F1" s="3">
        <v>8</v>
      </c>
      <c r="G1" s="3">
        <v>7</v>
      </c>
      <c r="H1" s="3">
        <v>6</v>
      </c>
      <c r="I1" s="3">
        <v>5</v>
      </c>
      <c r="J1" s="3">
        <v>4</v>
      </c>
      <c r="K1" s="3">
        <v>3</v>
      </c>
      <c r="L1" s="3">
        <v>2</v>
      </c>
      <c r="M1" s="3">
        <v>1</v>
      </c>
      <c r="N1" s="3">
        <v>14</v>
      </c>
      <c r="O1" s="3"/>
      <c r="P1" s="3"/>
      <c r="Q1" s="3"/>
      <c r="R1" s="3"/>
      <c r="S1" s="3" t="s">
        <v>38</v>
      </c>
      <c r="T1" s="3">
        <f>SUM(T6:T219)</f>
        <v>-70.417229125221212</v>
      </c>
    </row>
    <row r="2" spans="1:2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  <c r="P2" s="3"/>
      <c r="Q2" s="3"/>
      <c r="R2" s="3"/>
      <c r="S2" s="3"/>
      <c r="T2" s="3"/>
    </row>
    <row r="3" spans="1:20" x14ac:dyDescent="0.25">
      <c r="A3" s="3">
        <f>INDEX(LINEST($N6:$N219, $A6:$M219), 1, A1)</f>
        <v>-1.0537637945556705E-3</v>
      </c>
      <c r="B3" s="3">
        <f t="shared" ref="B3:N3" si="0">INDEX(LINEST($N6:$N219, $A6:$M219), 1, B1)</f>
        <v>0.11219144928248172</v>
      </c>
      <c r="C3" s="3">
        <f t="shared" si="0"/>
        <v>0.10326991889521805</v>
      </c>
      <c r="D3" s="3">
        <f t="shared" si="0"/>
        <v>2.3955723505184488E-3</v>
      </c>
      <c r="E3" s="3">
        <f t="shared" si="0"/>
        <v>1.117783606677391E-4</v>
      </c>
      <c r="F3" s="3">
        <f t="shared" si="0"/>
        <v>-6.789020847422915E-2</v>
      </c>
      <c r="G3" s="3">
        <f t="shared" si="0"/>
        <v>2.1567322275336007E-2</v>
      </c>
      <c r="H3" s="3">
        <f t="shared" si="0"/>
        <v>-2.6475944947249022E-3</v>
      </c>
      <c r="I3" s="3">
        <f t="shared" si="0"/>
        <v>0.12454064278091105</v>
      </c>
      <c r="J3" s="3">
        <f t="shared" si="0"/>
        <v>3.1788647213536296E-2</v>
      </c>
      <c r="K3" s="3">
        <f t="shared" si="0"/>
        <v>8.6936423828833237E-2</v>
      </c>
      <c r="L3" s="3">
        <f t="shared" si="0"/>
        <v>0.15681921554991854</v>
      </c>
      <c r="M3" s="3">
        <f t="shared" si="0"/>
        <v>5.25396442585086E-2</v>
      </c>
      <c r="N3" s="3">
        <f t="shared" si="0"/>
        <v>-0.41230695948282103</v>
      </c>
      <c r="O3" s="3"/>
      <c r="P3" s="3"/>
      <c r="Q3" s="3" t="s">
        <v>36</v>
      </c>
      <c r="R3" s="3">
        <f>SUM(R224:R306)</f>
        <v>16</v>
      </c>
      <c r="S3" s="3"/>
      <c r="T3" s="3"/>
    </row>
    <row r="4" spans="1:20" x14ac:dyDescent="0.25">
      <c r="A4" s="3">
        <v>-1.1172245000000001E-2</v>
      </c>
      <c r="B4" s="3">
        <v>0.91088856900000004</v>
      </c>
      <c r="C4" s="3">
        <v>0.83360315900000004</v>
      </c>
      <c r="D4" s="3">
        <v>3.0926338000000001E-2</v>
      </c>
      <c r="E4" s="3">
        <v>2.4596129999999998E-3</v>
      </c>
      <c r="F4" s="3">
        <v>-0.499307789</v>
      </c>
      <c r="G4" s="3">
        <v>0.239148309</v>
      </c>
      <c r="H4" s="3">
        <v>-2.1034658000000001E-2</v>
      </c>
      <c r="I4" s="3">
        <v>0.73148345199999998</v>
      </c>
      <c r="J4" s="3">
        <v>0.22737281500000001</v>
      </c>
      <c r="K4" s="3">
        <v>0.85747121500000001</v>
      </c>
      <c r="L4" s="3">
        <v>1.4052657989999999</v>
      </c>
      <c r="M4" s="3">
        <v>0.30308518499999998</v>
      </c>
      <c r="N4" s="3">
        <v>-8.7246666220000009</v>
      </c>
      <c r="O4" s="3"/>
      <c r="P4" s="3"/>
      <c r="Q4" s="3" t="s">
        <v>37</v>
      </c>
      <c r="R4" s="5">
        <f>1-R3/(306-224+1)</f>
        <v>0.80722891566265065</v>
      </c>
      <c r="S4" s="3"/>
      <c r="T4" s="3"/>
    </row>
    <row r="5" spans="1:20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6" t="s">
        <v>13</v>
      </c>
      <c r="O5" s="4" t="s">
        <v>28</v>
      </c>
      <c r="P5" s="4" t="s">
        <v>29</v>
      </c>
      <c r="Q5" s="4" t="s">
        <v>32</v>
      </c>
      <c r="R5" s="4" t="s">
        <v>33</v>
      </c>
      <c r="S5" s="4" t="s">
        <v>34</v>
      </c>
      <c r="T5" s="4" t="s">
        <v>35</v>
      </c>
    </row>
    <row r="6" spans="1:20" ht="18.75" customHeight="1" x14ac:dyDescent="0.25">
      <c r="A6" s="3">
        <v>67</v>
      </c>
      <c r="B6" s="3">
        <v>1</v>
      </c>
      <c r="C6" s="3">
        <v>4</v>
      </c>
      <c r="D6" s="3">
        <v>160</v>
      </c>
      <c r="E6" s="3">
        <v>286</v>
      </c>
      <c r="F6" s="3">
        <v>0</v>
      </c>
      <c r="G6" s="3">
        <v>2</v>
      </c>
      <c r="H6" s="3">
        <v>108</v>
      </c>
      <c r="I6" s="3">
        <v>1</v>
      </c>
      <c r="J6" s="3">
        <v>1.5</v>
      </c>
      <c r="K6" s="3">
        <v>2</v>
      </c>
      <c r="L6" s="3">
        <v>3</v>
      </c>
      <c r="M6" s="3">
        <v>3</v>
      </c>
      <c r="N6" s="3">
        <v>1</v>
      </c>
      <c r="O6" s="7">
        <f>SUMPRODUCT(A$4:M$4, A6:M6)+N$4</f>
        <v>6.5428491765000008</v>
      </c>
      <c r="P6" s="7">
        <f>1/(1+EXP(0-O6))</f>
        <v>0.99856169295310226</v>
      </c>
      <c r="Q6" s="7">
        <f>IF(P6&lt;=0.5, 0, 1)</f>
        <v>1</v>
      </c>
      <c r="R6" s="3">
        <f>IF(N6=Q6, 0, 1)</f>
        <v>0</v>
      </c>
      <c r="S6" s="3">
        <f>IF(N6=1, P6, 1-P6)</f>
        <v>0.99856169295310226</v>
      </c>
      <c r="T6" s="3">
        <f>IF(S6=0, -100000, LN(S6))</f>
        <v>-1.4393424033710719E-3</v>
      </c>
    </row>
    <row r="7" spans="1:20" x14ac:dyDescent="0.25">
      <c r="A7" s="3">
        <v>57</v>
      </c>
      <c r="B7" s="3">
        <v>0</v>
      </c>
      <c r="C7" s="3">
        <v>4</v>
      </c>
      <c r="D7" s="3">
        <v>120</v>
      </c>
      <c r="E7" s="3">
        <v>354</v>
      </c>
      <c r="F7" s="3">
        <v>0</v>
      </c>
      <c r="G7" s="3">
        <v>0</v>
      </c>
      <c r="H7" s="3">
        <v>163</v>
      </c>
      <c r="I7" s="3">
        <v>1</v>
      </c>
      <c r="J7" s="3">
        <v>0.6</v>
      </c>
      <c r="K7" s="3">
        <v>1</v>
      </c>
      <c r="L7" s="3">
        <v>0</v>
      </c>
      <c r="M7" s="3">
        <v>3</v>
      </c>
      <c r="N7" s="3">
        <v>0</v>
      </c>
      <c r="O7" s="7">
        <f t="shared" ref="O7:O70" si="1">SUMPRODUCT(A$4:M$4, A7:M7)+N$4</f>
        <v>-2.2392237320000001</v>
      </c>
      <c r="P7" s="7">
        <f t="shared" ref="P7:P70" si="2">1/(1+EXP(0-O7))</f>
        <v>9.6283065671445983E-2</v>
      </c>
      <c r="Q7" s="7">
        <f t="shared" ref="Q7:Q70" si="3">IF(P7&lt;=0.5, 0, 1)</f>
        <v>0</v>
      </c>
      <c r="R7" s="3">
        <f t="shared" ref="R7:R70" si="4">IF(N7=Q7, 0, 1)</f>
        <v>0</v>
      </c>
      <c r="S7" s="3">
        <f t="shared" ref="S7:S70" si="5">IF(N7=1, P7, 1-P7)</f>
        <v>0.90371693432855404</v>
      </c>
      <c r="T7" s="3">
        <f t="shared" ref="T7:T70" si="6">IF(S7=0, -100000, LN(S7))</f>
        <v>-0.10123909336681206</v>
      </c>
    </row>
    <row r="8" spans="1:20" x14ac:dyDescent="0.25">
      <c r="A8" s="3">
        <v>56</v>
      </c>
      <c r="B8" s="3">
        <v>0</v>
      </c>
      <c r="C8" s="3">
        <v>2</v>
      </c>
      <c r="D8" s="3">
        <v>140</v>
      </c>
      <c r="E8" s="3">
        <v>294</v>
      </c>
      <c r="F8" s="3">
        <v>0</v>
      </c>
      <c r="G8" s="3">
        <v>2</v>
      </c>
      <c r="H8" s="3">
        <v>153</v>
      </c>
      <c r="I8" s="3">
        <v>0</v>
      </c>
      <c r="J8" s="3">
        <v>1.3</v>
      </c>
      <c r="K8" s="3">
        <v>2</v>
      </c>
      <c r="L8" s="3">
        <v>0</v>
      </c>
      <c r="M8" s="3">
        <v>3</v>
      </c>
      <c r="N8" s="3">
        <v>0</v>
      </c>
      <c r="O8" s="7">
        <f t="shared" si="1"/>
        <v>-2.4505158935000004</v>
      </c>
      <c r="P8" s="7">
        <f t="shared" si="2"/>
        <v>7.9400831074359357E-2</v>
      </c>
      <c r="Q8" s="7">
        <f t="shared" si="3"/>
        <v>0</v>
      </c>
      <c r="R8" s="3">
        <f t="shared" si="4"/>
        <v>0</v>
      </c>
      <c r="S8" s="3">
        <f t="shared" si="5"/>
        <v>0.92059916892564064</v>
      </c>
      <c r="T8" s="3">
        <f t="shared" si="6"/>
        <v>-8.2730550352346499E-2</v>
      </c>
    </row>
    <row r="9" spans="1:20" x14ac:dyDescent="0.25">
      <c r="A9" s="3">
        <v>49</v>
      </c>
      <c r="B9" s="3">
        <v>1</v>
      </c>
      <c r="C9" s="3">
        <v>2</v>
      </c>
      <c r="D9" s="3">
        <v>130</v>
      </c>
      <c r="E9" s="3">
        <v>266</v>
      </c>
      <c r="F9" s="3">
        <v>0</v>
      </c>
      <c r="G9" s="3">
        <v>0</v>
      </c>
      <c r="H9" s="3">
        <v>171</v>
      </c>
      <c r="I9" s="3">
        <v>0</v>
      </c>
      <c r="J9" s="3">
        <v>0.6</v>
      </c>
      <c r="K9" s="3">
        <v>1</v>
      </c>
      <c r="L9" s="3">
        <v>0</v>
      </c>
      <c r="M9" s="3">
        <v>3</v>
      </c>
      <c r="N9" s="3">
        <v>0</v>
      </c>
      <c r="O9" s="7">
        <f t="shared" si="1"/>
        <v>-3.7131068010000003</v>
      </c>
      <c r="P9" s="7">
        <f t="shared" si="2"/>
        <v>2.3820340204552402E-2</v>
      </c>
      <c r="Q9" s="7">
        <f t="shared" si="3"/>
        <v>0</v>
      </c>
      <c r="R9" s="3">
        <f t="shared" si="4"/>
        <v>0</v>
      </c>
      <c r="S9" s="3">
        <f t="shared" si="5"/>
        <v>0.97617965979544763</v>
      </c>
      <c r="T9" s="3">
        <f t="shared" si="6"/>
        <v>-2.4108631849987929E-2</v>
      </c>
    </row>
    <row r="10" spans="1:20" x14ac:dyDescent="0.25">
      <c r="A10" s="3">
        <v>64</v>
      </c>
      <c r="B10" s="3">
        <v>1</v>
      </c>
      <c r="C10" s="3">
        <v>1</v>
      </c>
      <c r="D10" s="3">
        <v>110</v>
      </c>
      <c r="E10" s="3">
        <v>211</v>
      </c>
      <c r="F10" s="3">
        <v>0</v>
      </c>
      <c r="G10" s="3">
        <v>2</v>
      </c>
      <c r="H10" s="3">
        <v>144</v>
      </c>
      <c r="I10" s="3">
        <v>1</v>
      </c>
      <c r="J10" s="3">
        <v>1.8</v>
      </c>
      <c r="K10" s="3">
        <v>2</v>
      </c>
      <c r="L10" s="3">
        <v>0</v>
      </c>
      <c r="M10" s="3">
        <v>3</v>
      </c>
      <c r="N10" s="3">
        <v>0</v>
      </c>
      <c r="O10" s="7">
        <f t="shared" si="1"/>
        <v>-2.560064681000001</v>
      </c>
      <c r="P10" s="7">
        <f t="shared" si="2"/>
        <v>7.1753234085333947E-2</v>
      </c>
      <c r="Q10" s="7">
        <f t="shared" si="3"/>
        <v>0</v>
      </c>
      <c r="R10" s="3">
        <f t="shared" si="4"/>
        <v>0</v>
      </c>
      <c r="S10" s="3">
        <f t="shared" si="5"/>
        <v>0.92824676591466604</v>
      </c>
      <c r="T10" s="3">
        <f t="shared" si="6"/>
        <v>-7.4457669998169093E-2</v>
      </c>
    </row>
    <row r="11" spans="1:20" x14ac:dyDescent="0.25">
      <c r="A11" s="3">
        <v>42</v>
      </c>
      <c r="B11" s="3">
        <v>1</v>
      </c>
      <c r="C11" s="3">
        <v>4</v>
      </c>
      <c r="D11" s="3">
        <v>140</v>
      </c>
      <c r="E11" s="3">
        <v>226</v>
      </c>
      <c r="F11" s="3">
        <v>0</v>
      </c>
      <c r="G11" s="3">
        <v>0</v>
      </c>
      <c r="H11" s="3">
        <v>178</v>
      </c>
      <c r="I11" s="3">
        <v>0</v>
      </c>
      <c r="J11" s="3">
        <v>0</v>
      </c>
      <c r="K11" s="3">
        <v>1</v>
      </c>
      <c r="L11" s="3">
        <v>0</v>
      </c>
      <c r="M11" s="3">
        <v>3</v>
      </c>
      <c r="N11" s="3">
        <v>0</v>
      </c>
      <c r="O11" s="7">
        <f t="shared" si="1"/>
        <v>-2.0404822030000016</v>
      </c>
      <c r="P11" s="7">
        <f t="shared" si="2"/>
        <v>0.11501764017319679</v>
      </c>
      <c r="Q11" s="7">
        <f t="shared" si="3"/>
        <v>0</v>
      </c>
      <c r="R11" s="3">
        <f t="shared" si="4"/>
        <v>0</v>
      </c>
      <c r="S11" s="3">
        <f t="shared" si="5"/>
        <v>0.88498235982680318</v>
      </c>
      <c r="T11" s="3">
        <f t="shared" si="6"/>
        <v>-0.1221875665719529</v>
      </c>
    </row>
    <row r="12" spans="1:20" x14ac:dyDescent="0.25">
      <c r="A12" s="3">
        <v>55</v>
      </c>
      <c r="B12" s="3">
        <v>1</v>
      </c>
      <c r="C12" s="3">
        <v>4</v>
      </c>
      <c r="D12" s="3">
        <v>132</v>
      </c>
      <c r="E12" s="3">
        <v>353</v>
      </c>
      <c r="F12" s="3">
        <v>0</v>
      </c>
      <c r="G12" s="3">
        <v>0</v>
      </c>
      <c r="H12" s="3">
        <v>132</v>
      </c>
      <c r="I12" s="3">
        <v>1</v>
      </c>
      <c r="J12" s="3">
        <v>1.2</v>
      </c>
      <c r="K12" s="3">
        <v>2</v>
      </c>
      <c r="L12" s="3">
        <v>1</v>
      </c>
      <c r="M12" s="3">
        <v>7</v>
      </c>
      <c r="N12" s="3">
        <v>1</v>
      </c>
      <c r="O12" s="7">
        <f t="shared" si="1"/>
        <v>3.3262416110000004</v>
      </c>
      <c r="P12" s="7">
        <f t="shared" si="2"/>
        <v>0.96531816239507828</v>
      </c>
      <c r="Q12" s="7">
        <f t="shared" si="3"/>
        <v>1</v>
      </c>
      <c r="R12" s="3">
        <f t="shared" si="4"/>
        <v>0</v>
      </c>
      <c r="S12" s="3">
        <f t="shared" si="5"/>
        <v>0.96531816239507828</v>
      </c>
      <c r="T12" s="3">
        <f t="shared" si="6"/>
        <v>-3.5297530019088287E-2</v>
      </c>
    </row>
    <row r="13" spans="1:20" x14ac:dyDescent="0.25">
      <c r="A13" s="3">
        <v>61</v>
      </c>
      <c r="B13" s="3">
        <v>1</v>
      </c>
      <c r="C13" s="3">
        <v>3</v>
      </c>
      <c r="D13" s="3">
        <v>150</v>
      </c>
      <c r="E13" s="3">
        <v>243</v>
      </c>
      <c r="F13" s="3">
        <v>1</v>
      </c>
      <c r="G13" s="3">
        <v>0</v>
      </c>
      <c r="H13" s="3">
        <v>137</v>
      </c>
      <c r="I13" s="3">
        <v>1</v>
      </c>
      <c r="J13" s="3">
        <v>1</v>
      </c>
      <c r="K13" s="3">
        <v>2</v>
      </c>
      <c r="L13" s="3">
        <v>0</v>
      </c>
      <c r="M13" s="3">
        <v>3</v>
      </c>
      <c r="N13" s="3">
        <v>0</v>
      </c>
      <c r="O13" s="7">
        <f t="shared" si="1"/>
        <v>-0.55584054500000057</v>
      </c>
      <c r="P13" s="7">
        <f t="shared" si="2"/>
        <v>0.36451042250433208</v>
      </c>
      <c r="Q13" s="7">
        <f t="shared" si="3"/>
        <v>0</v>
      </c>
      <c r="R13" s="3">
        <f t="shared" si="4"/>
        <v>0</v>
      </c>
      <c r="S13" s="3">
        <f t="shared" si="5"/>
        <v>0.63548957749566792</v>
      </c>
      <c r="T13" s="3">
        <f t="shared" si="6"/>
        <v>-0.45335958896600365</v>
      </c>
    </row>
    <row r="14" spans="1:20" x14ac:dyDescent="0.25">
      <c r="A14" s="3">
        <v>71</v>
      </c>
      <c r="B14" s="3">
        <v>0</v>
      </c>
      <c r="C14" s="3">
        <v>2</v>
      </c>
      <c r="D14" s="3">
        <v>160</v>
      </c>
      <c r="E14" s="3">
        <v>302</v>
      </c>
      <c r="F14" s="3">
        <v>0</v>
      </c>
      <c r="G14" s="3">
        <v>0</v>
      </c>
      <c r="H14" s="3">
        <v>162</v>
      </c>
      <c r="I14" s="3">
        <v>0</v>
      </c>
      <c r="J14" s="3">
        <v>0.4</v>
      </c>
      <c r="K14" s="3">
        <v>1</v>
      </c>
      <c r="L14" s="3">
        <v>2</v>
      </c>
      <c r="M14" s="3">
        <v>3</v>
      </c>
      <c r="N14" s="3">
        <v>0</v>
      </c>
      <c r="O14" s="7">
        <f t="shared" si="1"/>
        <v>-0.89907959500000079</v>
      </c>
      <c r="P14" s="7">
        <f t="shared" si="2"/>
        <v>0.28923967760305952</v>
      </c>
      <c r="Q14" s="7">
        <f t="shared" si="3"/>
        <v>0</v>
      </c>
      <c r="R14" s="3">
        <f t="shared" si="4"/>
        <v>0</v>
      </c>
      <c r="S14" s="3">
        <f t="shared" si="5"/>
        <v>0.71076032239694054</v>
      </c>
      <c r="T14" s="3">
        <f t="shared" si="6"/>
        <v>-0.34142000531070582</v>
      </c>
    </row>
    <row r="15" spans="1:20" x14ac:dyDescent="0.25">
      <c r="A15" s="3">
        <v>61</v>
      </c>
      <c r="B15" s="3">
        <v>0</v>
      </c>
      <c r="C15" s="3">
        <v>4</v>
      </c>
      <c r="D15" s="3">
        <v>130</v>
      </c>
      <c r="E15" s="3">
        <v>330</v>
      </c>
      <c r="F15" s="3">
        <v>0</v>
      </c>
      <c r="G15" s="3">
        <v>2</v>
      </c>
      <c r="H15" s="3">
        <v>169</v>
      </c>
      <c r="I15" s="3">
        <v>0</v>
      </c>
      <c r="J15" s="3">
        <v>0</v>
      </c>
      <c r="K15" s="3">
        <v>1</v>
      </c>
      <c r="L15" s="3">
        <v>0</v>
      </c>
      <c r="M15" s="3">
        <v>3</v>
      </c>
      <c r="N15" s="3">
        <v>1</v>
      </c>
      <c r="O15" s="7">
        <f t="shared" si="1"/>
        <v>-2.5494985150000007</v>
      </c>
      <c r="P15" s="7">
        <f t="shared" si="2"/>
        <v>7.2460182794683387E-2</v>
      </c>
      <c r="Q15" s="7">
        <f t="shared" si="3"/>
        <v>0</v>
      </c>
      <c r="R15" s="3">
        <f t="shared" si="4"/>
        <v>1</v>
      </c>
      <c r="S15" s="3">
        <f t="shared" si="5"/>
        <v>7.2460182794683387E-2</v>
      </c>
      <c r="T15" s="3">
        <f t="shared" si="6"/>
        <v>-2.6247180708205771</v>
      </c>
    </row>
    <row r="16" spans="1:20" x14ac:dyDescent="0.25">
      <c r="A16" s="3">
        <v>50</v>
      </c>
      <c r="B16" s="3">
        <v>1</v>
      </c>
      <c r="C16" s="3">
        <v>4</v>
      </c>
      <c r="D16" s="3">
        <v>150</v>
      </c>
      <c r="E16" s="3">
        <v>243</v>
      </c>
      <c r="F16" s="3">
        <v>0</v>
      </c>
      <c r="G16" s="3">
        <v>2</v>
      </c>
      <c r="H16" s="3">
        <v>128</v>
      </c>
      <c r="I16" s="3">
        <v>0</v>
      </c>
      <c r="J16" s="3">
        <v>2.6</v>
      </c>
      <c r="K16" s="3">
        <v>2</v>
      </c>
      <c r="L16" s="3">
        <v>0</v>
      </c>
      <c r="M16" s="3">
        <v>7</v>
      </c>
      <c r="N16" s="3">
        <v>1</v>
      </c>
      <c r="O16" s="7">
        <f t="shared" si="1"/>
        <v>2.4122274299999997</v>
      </c>
      <c r="P16" s="7">
        <f t="shared" si="2"/>
        <v>0.91775496656618627</v>
      </c>
      <c r="Q16" s="7">
        <f t="shared" si="3"/>
        <v>1</v>
      </c>
      <c r="R16" s="3">
        <f t="shared" si="4"/>
        <v>0</v>
      </c>
      <c r="S16" s="3">
        <f t="shared" si="5"/>
        <v>0.91775496656618627</v>
      </c>
      <c r="T16" s="3">
        <f t="shared" si="6"/>
        <v>-8.582484494325103E-2</v>
      </c>
    </row>
    <row r="17" spans="1:20" x14ac:dyDescent="0.25">
      <c r="A17" s="3">
        <v>44</v>
      </c>
      <c r="B17" s="3">
        <v>1</v>
      </c>
      <c r="C17" s="3">
        <v>2</v>
      </c>
      <c r="D17" s="3">
        <v>130</v>
      </c>
      <c r="E17" s="3">
        <v>219</v>
      </c>
      <c r="F17" s="3">
        <v>0</v>
      </c>
      <c r="G17" s="3">
        <v>2</v>
      </c>
      <c r="H17" s="3">
        <v>188</v>
      </c>
      <c r="I17" s="3">
        <v>0</v>
      </c>
      <c r="J17" s="3">
        <v>0</v>
      </c>
      <c r="K17" s="3">
        <v>1</v>
      </c>
      <c r="L17" s="3">
        <v>0</v>
      </c>
      <c r="M17" s="3">
        <v>3</v>
      </c>
      <c r="N17" s="3">
        <v>0</v>
      </c>
      <c r="O17" s="7">
        <f t="shared" si="1"/>
        <v>-3.7885636440000008</v>
      </c>
      <c r="P17" s="7">
        <f t="shared" si="2"/>
        <v>2.2127380355361624E-2</v>
      </c>
      <c r="Q17" s="7">
        <f t="shared" si="3"/>
        <v>0</v>
      </c>
      <c r="R17" s="3">
        <f t="shared" si="4"/>
        <v>0</v>
      </c>
      <c r="S17" s="3">
        <f t="shared" si="5"/>
        <v>0.97787261964463834</v>
      </c>
      <c r="T17" s="3">
        <f t="shared" si="6"/>
        <v>-2.2375863192164044E-2</v>
      </c>
    </row>
    <row r="18" spans="1:20" x14ac:dyDescent="0.25">
      <c r="A18" s="3">
        <v>51</v>
      </c>
      <c r="B18" s="3">
        <v>0</v>
      </c>
      <c r="C18" s="3">
        <v>4</v>
      </c>
      <c r="D18" s="3">
        <v>130</v>
      </c>
      <c r="E18" s="3">
        <v>305</v>
      </c>
      <c r="F18" s="3">
        <v>0</v>
      </c>
      <c r="G18" s="3">
        <v>0</v>
      </c>
      <c r="H18" s="3">
        <v>142</v>
      </c>
      <c r="I18" s="3">
        <v>1</v>
      </c>
      <c r="J18" s="3">
        <v>1.2</v>
      </c>
      <c r="K18" s="3">
        <v>2</v>
      </c>
      <c r="L18" s="3">
        <v>0</v>
      </c>
      <c r="M18" s="3">
        <v>7</v>
      </c>
      <c r="N18" s="3">
        <v>1</v>
      </c>
      <c r="O18" s="7">
        <f t="shared" si="1"/>
        <v>0.66451554300000026</v>
      </c>
      <c r="P18" s="7">
        <f t="shared" si="2"/>
        <v>0.66027401188304036</v>
      </c>
      <c r="Q18" s="7">
        <f t="shared" si="3"/>
        <v>1</v>
      </c>
      <c r="R18" s="3">
        <f t="shared" si="4"/>
        <v>0</v>
      </c>
      <c r="S18" s="3">
        <f t="shared" si="5"/>
        <v>0.66027401188304036</v>
      </c>
      <c r="T18" s="3">
        <f t="shared" si="6"/>
        <v>-0.41510036060092653</v>
      </c>
    </row>
    <row r="19" spans="1:20" x14ac:dyDescent="0.25">
      <c r="A19" s="3">
        <v>58</v>
      </c>
      <c r="B19" s="3">
        <v>1</v>
      </c>
      <c r="C19" s="3">
        <v>4</v>
      </c>
      <c r="D19" s="3">
        <v>128</v>
      </c>
      <c r="E19" s="3">
        <v>216</v>
      </c>
      <c r="F19" s="3">
        <v>0</v>
      </c>
      <c r="G19" s="3">
        <v>2</v>
      </c>
      <c r="H19" s="3">
        <v>131</v>
      </c>
      <c r="I19" s="3">
        <v>1</v>
      </c>
      <c r="J19" s="3">
        <v>2.2000000000000002</v>
      </c>
      <c r="K19" s="3">
        <v>2</v>
      </c>
      <c r="L19" s="3">
        <v>3</v>
      </c>
      <c r="M19" s="3">
        <v>7</v>
      </c>
      <c r="N19" s="3">
        <v>1</v>
      </c>
      <c r="O19" s="7">
        <f t="shared" si="1"/>
        <v>6.3692882319999988</v>
      </c>
      <c r="P19" s="7">
        <f t="shared" si="2"/>
        <v>0.99828955232444616</v>
      </c>
      <c r="Q19" s="7">
        <f t="shared" si="3"/>
        <v>1</v>
      </c>
      <c r="R19" s="3">
        <f t="shared" si="4"/>
        <v>0</v>
      </c>
      <c r="S19" s="3">
        <f t="shared" si="5"/>
        <v>0.99828955232444616</v>
      </c>
      <c r="T19" s="3">
        <f t="shared" si="6"/>
        <v>-1.7119121613683953E-3</v>
      </c>
    </row>
    <row r="20" spans="1:20" x14ac:dyDescent="0.25">
      <c r="A20" s="3">
        <v>54</v>
      </c>
      <c r="B20" s="3">
        <v>1</v>
      </c>
      <c r="C20" s="3">
        <v>4</v>
      </c>
      <c r="D20" s="3">
        <v>120</v>
      </c>
      <c r="E20" s="3">
        <v>188</v>
      </c>
      <c r="F20" s="3">
        <v>0</v>
      </c>
      <c r="G20" s="3">
        <v>0</v>
      </c>
      <c r="H20" s="3">
        <v>113</v>
      </c>
      <c r="I20" s="3">
        <v>0</v>
      </c>
      <c r="J20" s="3">
        <v>1.4</v>
      </c>
      <c r="K20" s="3">
        <v>2</v>
      </c>
      <c r="L20" s="3">
        <v>1</v>
      </c>
      <c r="M20" s="3">
        <v>7</v>
      </c>
      <c r="N20" s="3">
        <v>1</v>
      </c>
      <c r="O20" s="7">
        <f t="shared" si="1"/>
        <v>2.2741112679999986</v>
      </c>
      <c r="P20" s="7">
        <f t="shared" si="2"/>
        <v>0.90671012902681136</v>
      </c>
      <c r="Q20" s="7">
        <f t="shared" si="3"/>
        <v>1</v>
      </c>
      <c r="R20" s="3">
        <f t="shared" si="4"/>
        <v>0</v>
      </c>
      <c r="S20" s="3">
        <f t="shared" si="5"/>
        <v>0.90671012902681136</v>
      </c>
      <c r="T20" s="3">
        <f t="shared" si="6"/>
        <v>-9.7932473082487342E-2</v>
      </c>
    </row>
    <row r="21" spans="1:20" x14ac:dyDescent="0.25">
      <c r="A21" s="3">
        <v>59</v>
      </c>
      <c r="B21" s="3">
        <v>1</v>
      </c>
      <c r="C21" s="3">
        <v>4</v>
      </c>
      <c r="D21" s="3">
        <v>170</v>
      </c>
      <c r="E21" s="3">
        <v>326</v>
      </c>
      <c r="F21" s="3">
        <v>0</v>
      </c>
      <c r="G21" s="3">
        <v>2</v>
      </c>
      <c r="H21" s="3">
        <v>140</v>
      </c>
      <c r="I21" s="3">
        <v>1</v>
      </c>
      <c r="J21" s="3">
        <v>3.4</v>
      </c>
      <c r="K21" s="3">
        <v>3</v>
      </c>
      <c r="L21" s="3">
        <v>0</v>
      </c>
      <c r="M21" s="3">
        <v>7</v>
      </c>
      <c r="N21" s="3">
        <v>1</v>
      </c>
      <c r="O21" s="7">
        <f t="shared" si="1"/>
        <v>4.6527888869999998</v>
      </c>
      <c r="P21" s="7">
        <f t="shared" si="2"/>
        <v>0.99055508416288396</v>
      </c>
      <c r="Q21" s="7">
        <f t="shared" si="3"/>
        <v>1</v>
      </c>
      <c r="R21" s="3">
        <f t="shared" si="4"/>
        <v>0</v>
      </c>
      <c r="S21" s="3">
        <f t="shared" si="5"/>
        <v>0.99055508416288396</v>
      </c>
      <c r="T21" s="3">
        <f t="shared" si="6"/>
        <v>-9.4898019083903412E-3</v>
      </c>
    </row>
    <row r="22" spans="1:20" x14ac:dyDescent="0.25">
      <c r="A22" s="3">
        <v>65</v>
      </c>
      <c r="B22" s="3">
        <v>0</v>
      </c>
      <c r="C22" s="3">
        <v>3</v>
      </c>
      <c r="D22" s="3">
        <v>155</v>
      </c>
      <c r="E22" s="3">
        <v>269</v>
      </c>
      <c r="F22" s="3">
        <v>0</v>
      </c>
      <c r="G22" s="3">
        <v>0</v>
      </c>
      <c r="H22" s="3">
        <v>148</v>
      </c>
      <c r="I22" s="3">
        <v>0</v>
      </c>
      <c r="J22" s="3">
        <v>0.8</v>
      </c>
      <c r="K22" s="3">
        <v>1</v>
      </c>
      <c r="L22" s="3">
        <v>0</v>
      </c>
      <c r="M22" s="3">
        <v>3</v>
      </c>
      <c r="N22" s="3">
        <v>0</v>
      </c>
      <c r="O22" s="7">
        <f t="shared" si="1"/>
        <v>-2.6593391450000006</v>
      </c>
      <c r="P22" s="7">
        <f t="shared" si="2"/>
        <v>6.5415724190466637E-2</v>
      </c>
      <c r="Q22" s="7">
        <f t="shared" si="3"/>
        <v>0</v>
      </c>
      <c r="R22" s="3">
        <f t="shared" si="4"/>
        <v>0</v>
      </c>
      <c r="S22" s="3">
        <f t="shared" si="5"/>
        <v>0.9345842758095334</v>
      </c>
      <c r="T22" s="3">
        <f t="shared" si="6"/>
        <v>-6.7653473371004927E-2</v>
      </c>
    </row>
    <row r="23" spans="1:20" x14ac:dyDescent="0.25">
      <c r="A23" s="3">
        <v>65</v>
      </c>
      <c r="B23" s="3">
        <v>1</v>
      </c>
      <c r="C23" s="3">
        <v>4</v>
      </c>
      <c r="D23" s="3">
        <v>110</v>
      </c>
      <c r="E23" s="3">
        <v>248</v>
      </c>
      <c r="F23" s="3">
        <v>0</v>
      </c>
      <c r="G23" s="3">
        <v>2</v>
      </c>
      <c r="H23" s="3">
        <v>158</v>
      </c>
      <c r="I23" s="3">
        <v>0</v>
      </c>
      <c r="J23" s="3">
        <v>0.6</v>
      </c>
      <c r="K23" s="3">
        <v>1</v>
      </c>
      <c r="L23" s="3">
        <v>2</v>
      </c>
      <c r="M23" s="3">
        <v>6</v>
      </c>
      <c r="N23" s="3">
        <v>1</v>
      </c>
      <c r="O23" s="7">
        <f t="shared" si="1"/>
        <v>1.5840781279999998</v>
      </c>
      <c r="P23" s="7">
        <f t="shared" si="2"/>
        <v>0.82978130519074589</v>
      </c>
      <c r="Q23" s="7">
        <f t="shared" si="3"/>
        <v>1</v>
      </c>
      <c r="R23" s="3">
        <f t="shared" si="4"/>
        <v>0</v>
      </c>
      <c r="S23" s="3">
        <f t="shared" si="5"/>
        <v>0.82978130519074589</v>
      </c>
      <c r="T23" s="3">
        <f t="shared" si="6"/>
        <v>-0.186593100632475</v>
      </c>
    </row>
    <row r="24" spans="1:20" x14ac:dyDescent="0.25">
      <c r="A24" s="3">
        <v>60</v>
      </c>
      <c r="B24" s="3">
        <v>1</v>
      </c>
      <c r="C24" s="3">
        <v>4</v>
      </c>
      <c r="D24" s="3">
        <v>125</v>
      </c>
      <c r="E24" s="3">
        <v>258</v>
      </c>
      <c r="F24" s="3">
        <v>0</v>
      </c>
      <c r="G24" s="3">
        <v>2</v>
      </c>
      <c r="H24" s="3">
        <v>141</v>
      </c>
      <c r="I24" s="3">
        <v>1</v>
      </c>
      <c r="J24" s="3">
        <v>2.8</v>
      </c>
      <c r="K24" s="3">
        <v>2</v>
      </c>
      <c r="L24" s="3">
        <v>1</v>
      </c>
      <c r="M24" s="3">
        <v>7</v>
      </c>
      <c r="N24" s="3">
        <v>1</v>
      </c>
      <c r="O24" s="7">
        <f t="shared" si="1"/>
        <v>3.4730139849999997</v>
      </c>
      <c r="P24" s="7">
        <f t="shared" si="2"/>
        <v>0.96991010482954443</v>
      </c>
      <c r="Q24" s="7">
        <f t="shared" si="3"/>
        <v>1</v>
      </c>
      <c r="R24" s="3">
        <f t="shared" si="4"/>
        <v>0</v>
      </c>
      <c r="S24" s="3">
        <f t="shared" si="5"/>
        <v>0.96991010482954443</v>
      </c>
      <c r="T24" s="3">
        <f t="shared" si="6"/>
        <v>-3.0551887212801221E-2</v>
      </c>
    </row>
    <row r="25" spans="1:20" x14ac:dyDescent="0.25">
      <c r="A25" s="3">
        <v>44</v>
      </c>
      <c r="B25" s="3">
        <v>0</v>
      </c>
      <c r="C25" s="3">
        <v>3</v>
      </c>
      <c r="D25" s="3">
        <v>108</v>
      </c>
      <c r="E25" s="3">
        <v>141</v>
      </c>
      <c r="F25" s="3">
        <v>0</v>
      </c>
      <c r="G25" s="3">
        <v>0</v>
      </c>
      <c r="H25" s="3">
        <v>175</v>
      </c>
      <c r="I25" s="3">
        <v>0</v>
      </c>
      <c r="J25" s="3">
        <v>0.6</v>
      </c>
      <c r="K25" s="3">
        <v>2</v>
      </c>
      <c r="L25" s="3">
        <v>0</v>
      </c>
      <c r="M25" s="3">
        <v>3</v>
      </c>
      <c r="N25" s="3">
        <v>0</v>
      </c>
      <c r="O25" s="7">
        <f t="shared" si="1"/>
        <v>-3.9490294640000014</v>
      </c>
      <c r="P25" s="7">
        <f t="shared" si="2"/>
        <v>1.890895834371752E-2</v>
      </c>
      <c r="Q25" s="7">
        <f t="shared" si="3"/>
        <v>0</v>
      </c>
      <c r="R25" s="3">
        <f t="shared" si="4"/>
        <v>0</v>
      </c>
      <c r="S25" s="3">
        <f t="shared" si="5"/>
        <v>0.98109104165628247</v>
      </c>
      <c r="T25" s="3">
        <f t="shared" si="6"/>
        <v>-1.9090018772548047E-2</v>
      </c>
    </row>
    <row r="26" spans="1:20" x14ac:dyDescent="0.25">
      <c r="A26" s="3">
        <v>52</v>
      </c>
      <c r="B26" s="3">
        <v>1</v>
      </c>
      <c r="C26" s="3">
        <v>4</v>
      </c>
      <c r="D26" s="3">
        <v>128</v>
      </c>
      <c r="E26" s="3">
        <v>255</v>
      </c>
      <c r="F26" s="3">
        <v>0</v>
      </c>
      <c r="G26" s="3">
        <v>0</v>
      </c>
      <c r="H26" s="3">
        <v>161</v>
      </c>
      <c r="I26" s="3">
        <v>1</v>
      </c>
      <c r="J26" s="3">
        <v>0</v>
      </c>
      <c r="K26" s="3">
        <v>1</v>
      </c>
      <c r="L26" s="3">
        <v>1</v>
      </c>
      <c r="M26" s="3">
        <v>7</v>
      </c>
      <c r="N26" s="3">
        <v>1</v>
      </c>
      <c r="O26" s="7">
        <f t="shared" si="1"/>
        <v>1.2546872449999995</v>
      </c>
      <c r="P26" s="7">
        <f t="shared" si="2"/>
        <v>0.77811019099407719</v>
      </c>
      <c r="Q26" s="7">
        <f t="shared" si="3"/>
        <v>1</v>
      </c>
      <c r="R26" s="3">
        <f t="shared" si="4"/>
        <v>0</v>
      </c>
      <c r="S26" s="3">
        <f t="shared" si="5"/>
        <v>0.77811019099407719</v>
      </c>
      <c r="T26" s="3">
        <f t="shared" si="6"/>
        <v>-0.25088713116436684</v>
      </c>
    </row>
    <row r="27" spans="1:20" x14ac:dyDescent="0.25">
      <c r="A27" s="3">
        <v>61</v>
      </c>
      <c r="B27" s="3">
        <v>1</v>
      </c>
      <c r="C27" s="3">
        <v>4</v>
      </c>
      <c r="D27" s="3">
        <v>120</v>
      </c>
      <c r="E27" s="3">
        <v>260</v>
      </c>
      <c r="F27" s="3">
        <v>0</v>
      </c>
      <c r="G27" s="3">
        <v>0</v>
      </c>
      <c r="H27" s="3">
        <v>140</v>
      </c>
      <c r="I27" s="3">
        <v>1</v>
      </c>
      <c r="J27" s="3">
        <v>3.6</v>
      </c>
      <c r="K27" s="3">
        <v>2</v>
      </c>
      <c r="L27" s="3">
        <v>1</v>
      </c>
      <c r="M27" s="3">
        <v>7</v>
      </c>
      <c r="N27" s="3">
        <v>1</v>
      </c>
      <c r="O27" s="7">
        <f t="shared" si="1"/>
        <v>3.0367655679999999</v>
      </c>
      <c r="P27" s="7">
        <f t="shared" si="2"/>
        <v>0.95420770699469781</v>
      </c>
      <c r="Q27" s="7">
        <f t="shared" si="3"/>
        <v>1</v>
      </c>
      <c r="R27" s="3">
        <f t="shared" si="4"/>
        <v>0</v>
      </c>
      <c r="S27" s="3">
        <f t="shared" si="5"/>
        <v>0.95420770699469781</v>
      </c>
      <c r="T27" s="3">
        <f t="shared" si="6"/>
        <v>-4.6873909015228303E-2</v>
      </c>
    </row>
    <row r="28" spans="1:20" x14ac:dyDescent="0.25">
      <c r="A28" s="3">
        <v>39</v>
      </c>
      <c r="B28" s="3">
        <v>1</v>
      </c>
      <c r="C28" s="3">
        <v>4</v>
      </c>
      <c r="D28" s="3">
        <v>118</v>
      </c>
      <c r="E28" s="3">
        <v>219</v>
      </c>
      <c r="F28" s="3">
        <v>0</v>
      </c>
      <c r="G28" s="3">
        <v>0</v>
      </c>
      <c r="H28" s="3">
        <v>140</v>
      </c>
      <c r="I28" s="3">
        <v>0</v>
      </c>
      <c r="J28" s="3">
        <v>1.2</v>
      </c>
      <c r="K28" s="3">
        <v>2</v>
      </c>
      <c r="L28" s="3">
        <v>0</v>
      </c>
      <c r="M28" s="3">
        <v>7</v>
      </c>
      <c r="N28" s="3">
        <v>1</v>
      </c>
      <c r="O28" s="7">
        <f t="shared" si="1"/>
        <v>0.43741414199999795</v>
      </c>
      <c r="P28" s="7">
        <f t="shared" si="2"/>
        <v>0.60764270035451606</v>
      </c>
      <c r="Q28" s="7">
        <f t="shared" si="3"/>
        <v>1</v>
      </c>
      <c r="R28" s="3">
        <f t="shared" si="4"/>
        <v>0</v>
      </c>
      <c r="S28" s="3">
        <f t="shared" si="5"/>
        <v>0.60764270035451606</v>
      </c>
      <c r="T28" s="3">
        <f t="shared" si="6"/>
        <v>-0.4981682336486723</v>
      </c>
    </row>
    <row r="29" spans="1:20" x14ac:dyDescent="0.25">
      <c r="A29" s="3">
        <v>52</v>
      </c>
      <c r="B29" s="3">
        <v>1</v>
      </c>
      <c r="C29" s="3">
        <v>1</v>
      </c>
      <c r="D29" s="3">
        <v>118</v>
      </c>
      <c r="E29" s="3">
        <v>186</v>
      </c>
      <c r="F29" s="3">
        <v>0</v>
      </c>
      <c r="G29" s="3">
        <v>2</v>
      </c>
      <c r="H29" s="3">
        <v>190</v>
      </c>
      <c r="I29" s="3">
        <v>0</v>
      </c>
      <c r="J29" s="3">
        <v>0</v>
      </c>
      <c r="K29" s="3">
        <v>2</v>
      </c>
      <c r="L29" s="3">
        <v>0</v>
      </c>
      <c r="M29" s="3">
        <v>6</v>
      </c>
      <c r="N29" s="3">
        <v>0</v>
      </c>
      <c r="O29" s="7">
        <f t="shared" si="1"/>
        <v>-3.4391705940000019</v>
      </c>
      <c r="P29" s="7">
        <f t="shared" si="2"/>
        <v>3.1093461675300086E-2</v>
      </c>
      <c r="Q29" s="7">
        <f t="shared" si="3"/>
        <v>0</v>
      </c>
      <c r="R29" s="3">
        <f t="shared" si="4"/>
        <v>0</v>
      </c>
      <c r="S29" s="3">
        <f t="shared" si="5"/>
        <v>0.96890653832469986</v>
      </c>
      <c r="T29" s="3">
        <f t="shared" si="6"/>
        <v>-3.158712342042929E-2</v>
      </c>
    </row>
    <row r="30" spans="1:20" x14ac:dyDescent="0.25">
      <c r="A30" s="3">
        <v>62</v>
      </c>
      <c r="B30" s="3">
        <v>0</v>
      </c>
      <c r="C30" s="3">
        <v>3</v>
      </c>
      <c r="D30" s="3">
        <v>130</v>
      </c>
      <c r="E30" s="3">
        <v>263</v>
      </c>
      <c r="F30" s="3">
        <v>0</v>
      </c>
      <c r="G30" s="3">
        <v>0</v>
      </c>
      <c r="H30" s="3">
        <v>97</v>
      </c>
      <c r="I30" s="3">
        <v>0</v>
      </c>
      <c r="J30" s="3">
        <v>1.2</v>
      </c>
      <c r="K30" s="3">
        <v>2</v>
      </c>
      <c r="L30" s="3">
        <v>1</v>
      </c>
      <c r="M30" s="3">
        <v>7</v>
      </c>
      <c r="N30" s="3">
        <v>1</v>
      </c>
      <c r="O30" s="7">
        <f t="shared" si="1"/>
        <v>1.2250558999999992</v>
      </c>
      <c r="P30" s="7">
        <f t="shared" si="2"/>
        <v>0.77295206983809095</v>
      </c>
      <c r="Q30" s="7">
        <f t="shared" si="3"/>
        <v>1</v>
      </c>
      <c r="R30" s="3">
        <f t="shared" si="4"/>
        <v>0</v>
      </c>
      <c r="S30" s="3">
        <f t="shared" si="5"/>
        <v>0.77295206983809095</v>
      </c>
      <c r="T30" s="3">
        <f t="shared" si="6"/>
        <v>-0.25753823770122808</v>
      </c>
    </row>
    <row r="31" spans="1:20" x14ac:dyDescent="0.25">
      <c r="A31" s="3">
        <v>48</v>
      </c>
      <c r="B31" s="3">
        <v>1</v>
      </c>
      <c r="C31" s="3">
        <v>4</v>
      </c>
      <c r="D31" s="3">
        <v>130</v>
      </c>
      <c r="E31" s="3">
        <v>256</v>
      </c>
      <c r="F31" s="3">
        <v>1</v>
      </c>
      <c r="G31" s="3">
        <v>2</v>
      </c>
      <c r="H31" s="3">
        <v>150</v>
      </c>
      <c r="I31" s="3">
        <v>1</v>
      </c>
      <c r="J31" s="3">
        <v>0</v>
      </c>
      <c r="K31" s="3">
        <v>1</v>
      </c>
      <c r="L31" s="3">
        <v>2</v>
      </c>
      <c r="M31" s="3">
        <v>7</v>
      </c>
      <c r="N31" s="3">
        <v>1</v>
      </c>
      <c r="O31" s="7">
        <f t="shared" si="1"/>
        <v>2.9793243800000013</v>
      </c>
      <c r="P31" s="7">
        <f t="shared" si="2"/>
        <v>0.95163128252969598</v>
      </c>
      <c r="Q31" s="7">
        <f t="shared" si="3"/>
        <v>1</v>
      </c>
      <c r="R31" s="3">
        <f t="shared" si="4"/>
        <v>0</v>
      </c>
      <c r="S31" s="3">
        <f t="shared" si="5"/>
        <v>0.95163128252969598</v>
      </c>
      <c r="T31" s="3">
        <f t="shared" si="6"/>
        <v>-4.9577627481116743E-2</v>
      </c>
    </row>
    <row r="32" spans="1:20" x14ac:dyDescent="0.25">
      <c r="A32" s="3">
        <v>65</v>
      </c>
      <c r="B32" s="3">
        <v>1</v>
      </c>
      <c r="C32" s="3">
        <v>1</v>
      </c>
      <c r="D32" s="3">
        <v>138</v>
      </c>
      <c r="E32" s="3">
        <v>282</v>
      </c>
      <c r="F32" s="3">
        <v>1</v>
      </c>
      <c r="G32" s="3">
        <v>2</v>
      </c>
      <c r="H32" s="3">
        <v>174</v>
      </c>
      <c r="I32" s="3">
        <v>0</v>
      </c>
      <c r="J32" s="3">
        <v>1.4</v>
      </c>
      <c r="K32" s="3">
        <v>2</v>
      </c>
      <c r="L32" s="3">
        <v>1</v>
      </c>
      <c r="M32" s="3">
        <v>3</v>
      </c>
      <c r="N32" s="3">
        <v>1</v>
      </c>
      <c r="O32" s="7">
        <f t="shared" si="1"/>
        <v>-2.0781812470000016</v>
      </c>
      <c r="P32" s="7">
        <f t="shared" si="2"/>
        <v>0.11123564567946295</v>
      </c>
      <c r="Q32" s="7">
        <f t="shared" si="3"/>
        <v>0</v>
      </c>
      <c r="R32" s="3">
        <f t="shared" si="4"/>
        <v>1</v>
      </c>
      <c r="S32" s="3">
        <f t="shared" si="5"/>
        <v>0.11123564567946295</v>
      </c>
      <c r="T32" s="3">
        <f t="shared" si="6"/>
        <v>-2.1961043938608973</v>
      </c>
    </row>
    <row r="33" spans="1:20" x14ac:dyDescent="0.25">
      <c r="A33" s="3">
        <v>45</v>
      </c>
      <c r="B33" s="3">
        <v>0</v>
      </c>
      <c r="C33" s="3">
        <v>2</v>
      </c>
      <c r="D33" s="3">
        <v>130</v>
      </c>
      <c r="E33" s="3">
        <v>234</v>
      </c>
      <c r="F33" s="3">
        <v>0</v>
      </c>
      <c r="G33" s="3">
        <v>2</v>
      </c>
      <c r="H33" s="3">
        <v>175</v>
      </c>
      <c r="I33" s="3">
        <v>0</v>
      </c>
      <c r="J33" s="3">
        <v>0.6</v>
      </c>
      <c r="K33" s="3">
        <v>2</v>
      </c>
      <c r="L33" s="3">
        <v>0</v>
      </c>
      <c r="M33" s="3">
        <v>3</v>
      </c>
      <c r="N33" s="3">
        <v>0</v>
      </c>
      <c r="O33" s="7">
        <f t="shared" si="1"/>
        <v>-3.4063848050000018</v>
      </c>
      <c r="P33" s="7">
        <f t="shared" si="2"/>
        <v>3.2096518555950818E-2</v>
      </c>
      <c r="Q33" s="7">
        <f t="shared" si="3"/>
        <v>0</v>
      </c>
      <c r="R33" s="3">
        <f t="shared" si="4"/>
        <v>0</v>
      </c>
      <c r="S33" s="3">
        <f t="shared" si="5"/>
        <v>0.96790348144404914</v>
      </c>
      <c r="T33" s="3">
        <f t="shared" si="6"/>
        <v>-3.2622905928873312E-2</v>
      </c>
    </row>
    <row r="34" spans="1:20" x14ac:dyDescent="0.25">
      <c r="A34" s="3">
        <v>29</v>
      </c>
      <c r="B34" s="3">
        <v>1</v>
      </c>
      <c r="C34" s="3">
        <v>2</v>
      </c>
      <c r="D34" s="3">
        <v>130</v>
      </c>
      <c r="E34" s="3">
        <v>204</v>
      </c>
      <c r="F34" s="3">
        <v>0</v>
      </c>
      <c r="G34" s="3">
        <v>2</v>
      </c>
      <c r="H34" s="3">
        <v>202</v>
      </c>
      <c r="I34" s="3">
        <v>0</v>
      </c>
      <c r="J34" s="3">
        <v>0</v>
      </c>
      <c r="K34" s="3">
        <v>1</v>
      </c>
      <c r="L34" s="3">
        <v>0</v>
      </c>
      <c r="M34" s="3">
        <v>3</v>
      </c>
      <c r="N34" s="3">
        <v>0</v>
      </c>
      <c r="O34" s="7">
        <f t="shared" si="1"/>
        <v>-3.9523593760000004</v>
      </c>
      <c r="P34" s="7">
        <f t="shared" si="2"/>
        <v>1.8847282643043833E-2</v>
      </c>
      <c r="Q34" s="7">
        <f t="shared" si="3"/>
        <v>0</v>
      </c>
      <c r="R34" s="3">
        <f t="shared" si="4"/>
        <v>0</v>
      </c>
      <c r="S34" s="3">
        <f t="shared" si="5"/>
        <v>0.98115271735695619</v>
      </c>
      <c r="T34" s="3">
        <f t="shared" si="6"/>
        <v>-1.90271563474179E-2</v>
      </c>
    </row>
    <row r="35" spans="1:20" x14ac:dyDescent="0.25">
      <c r="A35" s="3">
        <v>51</v>
      </c>
      <c r="B35" s="3">
        <v>1</v>
      </c>
      <c r="C35" s="3">
        <v>4</v>
      </c>
      <c r="D35" s="3">
        <v>140</v>
      </c>
      <c r="E35" s="3">
        <v>261</v>
      </c>
      <c r="F35" s="3">
        <v>0</v>
      </c>
      <c r="G35" s="3">
        <v>2</v>
      </c>
      <c r="H35" s="3">
        <v>186</v>
      </c>
      <c r="I35" s="3">
        <v>1</v>
      </c>
      <c r="J35" s="3">
        <v>0</v>
      </c>
      <c r="K35" s="3">
        <v>1</v>
      </c>
      <c r="L35" s="3">
        <v>0</v>
      </c>
      <c r="M35" s="3">
        <v>3</v>
      </c>
      <c r="N35" s="3">
        <v>0</v>
      </c>
      <c r="O35" s="7">
        <f t="shared" si="1"/>
        <v>-1.0134431470000003</v>
      </c>
      <c r="P35" s="7">
        <f t="shared" si="2"/>
        <v>0.26630656220941562</v>
      </c>
      <c r="Q35" s="7">
        <f t="shared" si="3"/>
        <v>0</v>
      </c>
      <c r="R35" s="3">
        <f t="shared" si="4"/>
        <v>0</v>
      </c>
      <c r="S35" s="3">
        <f t="shared" si="5"/>
        <v>0.73369343779058438</v>
      </c>
      <c r="T35" s="3">
        <f t="shared" si="6"/>
        <v>-0.30966399729757349</v>
      </c>
    </row>
    <row r="36" spans="1:20" x14ac:dyDescent="0.25">
      <c r="A36" s="3">
        <v>55</v>
      </c>
      <c r="B36" s="3">
        <v>0</v>
      </c>
      <c r="C36" s="3">
        <v>2</v>
      </c>
      <c r="D36" s="3">
        <v>135</v>
      </c>
      <c r="E36" s="3">
        <v>250</v>
      </c>
      <c r="F36" s="3">
        <v>0</v>
      </c>
      <c r="G36" s="3">
        <v>2</v>
      </c>
      <c r="H36" s="3">
        <v>161</v>
      </c>
      <c r="I36" s="3">
        <v>0</v>
      </c>
      <c r="J36" s="3">
        <v>1.4</v>
      </c>
      <c r="K36" s="3">
        <v>2</v>
      </c>
      <c r="L36" s="3">
        <v>0</v>
      </c>
      <c r="M36" s="3">
        <v>3</v>
      </c>
      <c r="N36" s="3">
        <v>0</v>
      </c>
      <c r="O36" s="7">
        <f t="shared" si="1"/>
        <v>-2.8477382930000008</v>
      </c>
      <c r="P36" s="7">
        <f t="shared" si="2"/>
        <v>5.4798345543614707E-2</v>
      </c>
      <c r="Q36" s="7">
        <f t="shared" si="3"/>
        <v>0</v>
      </c>
      <c r="R36" s="3">
        <f t="shared" si="4"/>
        <v>0</v>
      </c>
      <c r="S36" s="3">
        <f t="shared" si="5"/>
        <v>0.94520165445638527</v>
      </c>
      <c r="T36" s="3">
        <f t="shared" si="6"/>
        <v>-5.635698329386872E-2</v>
      </c>
    </row>
    <row r="37" spans="1:20" x14ac:dyDescent="0.25">
      <c r="A37" s="3">
        <v>70</v>
      </c>
      <c r="B37" s="3">
        <v>1</v>
      </c>
      <c r="C37" s="3">
        <v>4</v>
      </c>
      <c r="D37" s="3">
        <v>145</v>
      </c>
      <c r="E37" s="3">
        <v>174</v>
      </c>
      <c r="F37" s="3">
        <v>0</v>
      </c>
      <c r="G37" s="3">
        <v>0</v>
      </c>
      <c r="H37" s="3">
        <v>125</v>
      </c>
      <c r="I37" s="3">
        <v>1</v>
      </c>
      <c r="J37" s="3">
        <v>2.6</v>
      </c>
      <c r="K37" s="3">
        <v>3</v>
      </c>
      <c r="L37" s="3">
        <v>0</v>
      </c>
      <c r="M37" s="3">
        <v>7</v>
      </c>
      <c r="N37" s="3">
        <v>1</v>
      </c>
      <c r="O37" s="7">
        <f t="shared" si="1"/>
        <v>3.0381995659999994</v>
      </c>
      <c r="P37" s="7">
        <f t="shared" si="2"/>
        <v>0.95427032525591249</v>
      </c>
      <c r="Q37" s="7">
        <f t="shared" si="3"/>
        <v>1</v>
      </c>
      <c r="R37" s="3">
        <f t="shared" si="4"/>
        <v>0</v>
      </c>
      <c r="S37" s="3">
        <f t="shared" si="5"/>
        <v>0.95427032525591249</v>
      </c>
      <c r="T37" s="3">
        <f t="shared" si="6"/>
        <v>-4.6808287865622189E-2</v>
      </c>
    </row>
    <row r="38" spans="1:20" x14ac:dyDescent="0.25">
      <c r="A38" s="3">
        <v>51</v>
      </c>
      <c r="B38" s="3">
        <v>1</v>
      </c>
      <c r="C38" s="3">
        <v>3</v>
      </c>
      <c r="D38" s="3">
        <v>125</v>
      </c>
      <c r="E38" s="3">
        <v>245</v>
      </c>
      <c r="F38" s="3">
        <v>1</v>
      </c>
      <c r="G38" s="3">
        <v>2</v>
      </c>
      <c r="H38" s="3">
        <v>166</v>
      </c>
      <c r="I38" s="3">
        <v>0</v>
      </c>
      <c r="J38" s="3">
        <v>2.4</v>
      </c>
      <c r="K38" s="3">
        <v>2</v>
      </c>
      <c r="L38" s="3">
        <v>0</v>
      </c>
      <c r="M38" s="3">
        <v>3</v>
      </c>
      <c r="N38" s="3">
        <v>0</v>
      </c>
      <c r="O38" s="7">
        <f t="shared" si="1"/>
        <v>-1.7572272940000024</v>
      </c>
      <c r="P38" s="7">
        <f t="shared" si="2"/>
        <v>0.14713794184148973</v>
      </c>
      <c r="Q38" s="7">
        <f t="shared" si="3"/>
        <v>0</v>
      </c>
      <c r="R38" s="3">
        <f t="shared" si="4"/>
        <v>0</v>
      </c>
      <c r="S38" s="3">
        <f t="shared" si="5"/>
        <v>0.85286205815851024</v>
      </c>
      <c r="T38" s="3">
        <f t="shared" si="6"/>
        <v>-0.15915745833247391</v>
      </c>
    </row>
    <row r="39" spans="1:20" x14ac:dyDescent="0.25">
      <c r="A39" s="3">
        <v>59</v>
      </c>
      <c r="B39" s="3">
        <v>1</v>
      </c>
      <c r="C39" s="3">
        <v>2</v>
      </c>
      <c r="D39" s="3">
        <v>140</v>
      </c>
      <c r="E39" s="3">
        <v>221</v>
      </c>
      <c r="F39" s="3">
        <v>0</v>
      </c>
      <c r="G39" s="3">
        <v>0</v>
      </c>
      <c r="H39" s="3">
        <v>164</v>
      </c>
      <c r="I39" s="3">
        <v>1</v>
      </c>
      <c r="J39" s="3">
        <v>0</v>
      </c>
      <c r="K39" s="3">
        <v>1</v>
      </c>
      <c r="L39" s="3">
        <v>0</v>
      </c>
      <c r="M39" s="3">
        <v>3</v>
      </c>
      <c r="N39" s="3">
        <v>0</v>
      </c>
      <c r="O39" s="7">
        <f t="shared" si="1"/>
        <v>-2.8839460870000009</v>
      </c>
      <c r="P39" s="7">
        <f t="shared" si="2"/>
        <v>5.2952895073392958E-2</v>
      </c>
      <c r="Q39" s="7">
        <f t="shared" si="3"/>
        <v>0</v>
      </c>
      <c r="R39" s="3">
        <f t="shared" si="4"/>
        <v>0</v>
      </c>
      <c r="S39" s="3">
        <f t="shared" si="5"/>
        <v>0.94704710492660704</v>
      </c>
      <c r="T39" s="3">
        <f t="shared" si="6"/>
        <v>-5.4406445822333518E-2</v>
      </c>
    </row>
    <row r="40" spans="1:20" x14ac:dyDescent="0.25">
      <c r="A40" s="3">
        <v>59</v>
      </c>
      <c r="B40" s="3">
        <v>1</v>
      </c>
      <c r="C40" s="3">
        <v>1</v>
      </c>
      <c r="D40" s="3">
        <v>170</v>
      </c>
      <c r="E40" s="3">
        <v>288</v>
      </c>
      <c r="F40" s="3">
        <v>0</v>
      </c>
      <c r="G40" s="3">
        <v>2</v>
      </c>
      <c r="H40" s="3">
        <v>159</v>
      </c>
      <c r="I40" s="3">
        <v>0</v>
      </c>
      <c r="J40" s="3">
        <v>0.2</v>
      </c>
      <c r="K40" s="3">
        <v>2</v>
      </c>
      <c r="L40" s="3">
        <v>0</v>
      </c>
      <c r="M40" s="3">
        <v>7</v>
      </c>
      <c r="N40" s="3">
        <v>1</v>
      </c>
      <c r="O40" s="7">
        <f t="shared" si="1"/>
        <v>-0.65769206100000055</v>
      </c>
      <c r="P40" s="7">
        <f t="shared" si="2"/>
        <v>0.34125824843243285</v>
      </c>
      <c r="Q40" s="7">
        <f t="shared" si="3"/>
        <v>0</v>
      </c>
      <c r="R40" s="3">
        <f t="shared" si="4"/>
        <v>1</v>
      </c>
      <c r="S40" s="3">
        <f t="shared" si="5"/>
        <v>0.34125824843243285</v>
      </c>
      <c r="T40" s="3">
        <f t="shared" si="6"/>
        <v>-1.0751157615445146</v>
      </c>
    </row>
    <row r="41" spans="1:20" x14ac:dyDescent="0.25">
      <c r="A41" s="3">
        <v>52</v>
      </c>
      <c r="B41" s="3">
        <v>1</v>
      </c>
      <c r="C41" s="3">
        <v>2</v>
      </c>
      <c r="D41" s="3">
        <v>128</v>
      </c>
      <c r="E41" s="3">
        <v>205</v>
      </c>
      <c r="F41" s="3">
        <v>1</v>
      </c>
      <c r="G41" s="3">
        <v>0</v>
      </c>
      <c r="H41" s="3">
        <v>184</v>
      </c>
      <c r="I41" s="3">
        <v>0</v>
      </c>
      <c r="J41" s="3">
        <v>0</v>
      </c>
      <c r="K41" s="3">
        <v>1</v>
      </c>
      <c r="L41" s="3">
        <v>0</v>
      </c>
      <c r="M41" s="3">
        <v>3</v>
      </c>
      <c r="N41" s="3">
        <v>0</v>
      </c>
      <c r="O41" s="7">
        <f t="shared" si="1"/>
        <v>-4.8676946370000014</v>
      </c>
      <c r="P41" s="7">
        <f t="shared" si="2"/>
        <v>7.6323744182482988E-3</v>
      </c>
      <c r="Q41" s="7">
        <f t="shared" si="3"/>
        <v>0</v>
      </c>
      <c r="R41" s="3">
        <f t="shared" si="4"/>
        <v>0</v>
      </c>
      <c r="S41" s="3">
        <f t="shared" si="5"/>
        <v>0.99236762558175173</v>
      </c>
      <c r="T41" s="3">
        <f t="shared" si="6"/>
        <v>-7.6616500447052611E-3</v>
      </c>
    </row>
    <row r="42" spans="1:20" x14ac:dyDescent="0.25">
      <c r="A42" s="3">
        <v>41</v>
      </c>
      <c r="B42" s="3">
        <v>1</v>
      </c>
      <c r="C42" s="3">
        <v>3</v>
      </c>
      <c r="D42" s="3">
        <v>112</v>
      </c>
      <c r="E42" s="3">
        <v>250</v>
      </c>
      <c r="F42" s="3">
        <v>0</v>
      </c>
      <c r="G42" s="3">
        <v>0</v>
      </c>
      <c r="H42" s="3">
        <v>179</v>
      </c>
      <c r="I42" s="3">
        <v>0</v>
      </c>
      <c r="J42" s="3">
        <v>0</v>
      </c>
      <c r="K42" s="3">
        <v>1</v>
      </c>
      <c r="L42" s="3">
        <v>0</v>
      </c>
      <c r="M42" s="3">
        <v>3</v>
      </c>
      <c r="N42" s="3">
        <v>0</v>
      </c>
      <c r="O42" s="7">
        <f t="shared" si="1"/>
        <v>-3.6908545269999999</v>
      </c>
      <c r="P42" s="7">
        <f t="shared" si="2"/>
        <v>2.4343290453916436E-2</v>
      </c>
      <c r="Q42" s="7">
        <f t="shared" si="3"/>
        <v>0</v>
      </c>
      <c r="R42" s="3">
        <f t="shared" si="4"/>
        <v>0</v>
      </c>
      <c r="S42" s="3">
        <f t="shared" si="5"/>
        <v>0.97565670954608352</v>
      </c>
      <c r="T42" s="3">
        <f t="shared" si="6"/>
        <v>-2.4644486463716503E-2</v>
      </c>
    </row>
    <row r="43" spans="1:20" x14ac:dyDescent="0.25">
      <c r="A43" s="3">
        <v>52</v>
      </c>
      <c r="B43" s="3">
        <v>1</v>
      </c>
      <c r="C43" s="3">
        <v>1</v>
      </c>
      <c r="D43" s="3">
        <v>152</v>
      </c>
      <c r="E43" s="3">
        <v>298</v>
      </c>
      <c r="F43" s="3">
        <v>1</v>
      </c>
      <c r="G43" s="3">
        <v>0</v>
      </c>
      <c r="H43" s="3">
        <v>178</v>
      </c>
      <c r="I43" s="3">
        <v>0</v>
      </c>
      <c r="J43" s="3">
        <v>1.2</v>
      </c>
      <c r="K43" s="3">
        <v>2</v>
      </c>
      <c r="L43" s="3">
        <v>0</v>
      </c>
      <c r="M43" s="3">
        <v>7</v>
      </c>
      <c r="N43" s="3">
        <v>0</v>
      </c>
      <c r="O43" s="7">
        <f t="shared" si="1"/>
        <v>-2.261454394000002</v>
      </c>
      <c r="P43" s="7">
        <f t="shared" si="2"/>
        <v>9.4366001549446854E-2</v>
      </c>
      <c r="Q43" s="7">
        <f t="shared" si="3"/>
        <v>0</v>
      </c>
      <c r="R43" s="3">
        <f t="shared" si="4"/>
        <v>0</v>
      </c>
      <c r="S43" s="3">
        <f t="shared" si="5"/>
        <v>0.90563399845055315</v>
      </c>
      <c r="T43" s="3">
        <f t="shared" si="6"/>
        <v>-9.9120029779269356E-2</v>
      </c>
    </row>
    <row r="44" spans="1:20" x14ac:dyDescent="0.25">
      <c r="A44" s="3">
        <v>64</v>
      </c>
      <c r="B44" s="3">
        <v>1</v>
      </c>
      <c r="C44" s="3">
        <v>4</v>
      </c>
      <c r="D44" s="3">
        <v>120</v>
      </c>
      <c r="E44" s="3">
        <v>246</v>
      </c>
      <c r="F44" s="3">
        <v>0</v>
      </c>
      <c r="G44" s="3">
        <v>2</v>
      </c>
      <c r="H44" s="3">
        <v>96</v>
      </c>
      <c r="I44" s="3">
        <v>1</v>
      </c>
      <c r="J44" s="3">
        <v>2.2000000000000002</v>
      </c>
      <c r="K44" s="3">
        <v>3</v>
      </c>
      <c r="L44" s="3">
        <v>1</v>
      </c>
      <c r="M44" s="3">
        <v>3</v>
      </c>
      <c r="N44" s="3">
        <v>1</v>
      </c>
      <c r="O44" s="7">
        <f t="shared" si="1"/>
        <v>3.6994443550000007</v>
      </c>
      <c r="P44" s="7">
        <f t="shared" si="2"/>
        <v>0.97585989251194794</v>
      </c>
      <c r="Q44" s="7">
        <f t="shared" si="3"/>
        <v>1</v>
      </c>
      <c r="R44" s="3">
        <f t="shared" si="4"/>
        <v>0</v>
      </c>
      <c r="S44" s="3">
        <f t="shared" si="5"/>
        <v>0.97585989251194794</v>
      </c>
      <c r="T44" s="3">
        <f t="shared" si="6"/>
        <v>-2.4436255627879072E-2</v>
      </c>
    </row>
    <row r="45" spans="1:20" x14ac:dyDescent="0.25">
      <c r="A45" s="3">
        <v>51</v>
      </c>
      <c r="B45" s="3">
        <v>1</v>
      </c>
      <c r="C45" s="3">
        <v>4</v>
      </c>
      <c r="D45" s="3">
        <v>140</v>
      </c>
      <c r="E45" s="3">
        <v>299</v>
      </c>
      <c r="F45" s="3">
        <v>0</v>
      </c>
      <c r="G45" s="3">
        <v>0</v>
      </c>
      <c r="H45" s="3">
        <v>173</v>
      </c>
      <c r="I45" s="3">
        <v>1</v>
      </c>
      <c r="J45" s="3">
        <v>1.6</v>
      </c>
      <c r="K45" s="3">
        <v>1</v>
      </c>
      <c r="L45" s="3">
        <v>0</v>
      </c>
      <c r="M45" s="3">
        <v>7</v>
      </c>
      <c r="N45" s="3">
        <v>1</v>
      </c>
      <c r="O45" s="7">
        <f t="shared" si="1"/>
        <v>0.45131332700000115</v>
      </c>
      <c r="P45" s="7">
        <f t="shared" si="2"/>
        <v>0.61095144380008337</v>
      </c>
      <c r="Q45" s="7">
        <f t="shared" si="3"/>
        <v>1</v>
      </c>
      <c r="R45" s="3">
        <f t="shared" si="4"/>
        <v>0</v>
      </c>
      <c r="S45" s="3">
        <f t="shared" si="5"/>
        <v>0.61095144380008337</v>
      </c>
      <c r="T45" s="3">
        <f t="shared" si="6"/>
        <v>-0.49273779301741677</v>
      </c>
    </row>
    <row r="46" spans="1:20" x14ac:dyDescent="0.25">
      <c r="A46" s="3">
        <v>54</v>
      </c>
      <c r="B46" s="3">
        <v>0</v>
      </c>
      <c r="C46" s="3">
        <v>3</v>
      </c>
      <c r="D46" s="3">
        <v>110</v>
      </c>
      <c r="E46" s="3">
        <v>214</v>
      </c>
      <c r="F46" s="3">
        <v>0</v>
      </c>
      <c r="G46" s="3">
        <v>0</v>
      </c>
      <c r="H46" s="3">
        <v>158</v>
      </c>
      <c r="I46" s="3">
        <v>0</v>
      </c>
      <c r="J46" s="3">
        <v>1.6</v>
      </c>
      <c r="K46" s="3">
        <v>2</v>
      </c>
      <c r="L46" s="3">
        <v>0</v>
      </c>
      <c r="M46" s="3">
        <v>3</v>
      </c>
      <c r="N46" s="3">
        <v>0</v>
      </c>
      <c r="O46" s="7">
        <f t="shared" si="1"/>
        <v>-3.2343854880000009</v>
      </c>
      <c r="P46" s="7">
        <f t="shared" si="2"/>
        <v>3.7892044274737913E-2</v>
      </c>
      <c r="Q46" s="7">
        <f t="shared" si="3"/>
        <v>0</v>
      </c>
      <c r="R46" s="3">
        <f t="shared" si="4"/>
        <v>0</v>
      </c>
      <c r="S46" s="3">
        <f t="shared" si="5"/>
        <v>0.96210795572526209</v>
      </c>
      <c r="T46" s="3">
        <f t="shared" si="6"/>
        <v>-3.8628614524003645E-2</v>
      </c>
    </row>
    <row r="47" spans="1:20" x14ac:dyDescent="0.25">
      <c r="A47" s="3">
        <v>48</v>
      </c>
      <c r="B47" s="3">
        <v>1</v>
      </c>
      <c r="C47" s="3">
        <v>3</v>
      </c>
      <c r="D47" s="3">
        <v>124</v>
      </c>
      <c r="E47" s="3">
        <v>255</v>
      </c>
      <c r="F47" s="3">
        <v>1</v>
      </c>
      <c r="G47" s="3">
        <v>0</v>
      </c>
      <c r="H47" s="3">
        <v>175</v>
      </c>
      <c r="I47" s="3">
        <v>0</v>
      </c>
      <c r="J47" s="3">
        <v>0</v>
      </c>
      <c r="K47" s="3">
        <v>1</v>
      </c>
      <c r="L47" s="3">
        <v>2</v>
      </c>
      <c r="M47" s="3">
        <v>3</v>
      </c>
      <c r="N47" s="3">
        <v>0</v>
      </c>
      <c r="O47" s="7">
        <f t="shared" si="1"/>
        <v>-0.99028368000000189</v>
      </c>
      <c r="P47" s="7">
        <f t="shared" si="2"/>
        <v>0.27085604918065098</v>
      </c>
      <c r="Q47" s="7">
        <f t="shared" si="3"/>
        <v>0</v>
      </c>
      <c r="R47" s="3">
        <f t="shared" si="4"/>
        <v>0</v>
      </c>
      <c r="S47" s="3">
        <f t="shared" si="5"/>
        <v>0.72914395081934902</v>
      </c>
      <c r="T47" s="3">
        <f t="shared" si="6"/>
        <v>-0.31588410306578274</v>
      </c>
    </row>
    <row r="48" spans="1:20" x14ac:dyDescent="0.25">
      <c r="A48" s="3">
        <v>57</v>
      </c>
      <c r="B48" s="3">
        <v>1</v>
      </c>
      <c r="C48" s="3">
        <v>4</v>
      </c>
      <c r="D48" s="3">
        <v>132</v>
      </c>
      <c r="E48" s="3">
        <v>207</v>
      </c>
      <c r="F48" s="3">
        <v>0</v>
      </c>
      <c r="G48" s="3">
        <v>0</v>
      </c>
      <c r="H48" s="3">
        <v>168</v>
      </c>
      <c r="I48" s="3">
        <v>1</v>
      </c>
      <c r="J48" s="3">
        <v>0</v>
      </c>
      <c r="K48" s="3">
        <v>1</v>
      </c>
      <c r="L48" s="3">
        <v>0</v>
      </c>
      <c r="M48" s="3">
        <v>7</v>
      </c>
      <c r="N48" s="3">
        <v>0</v>
      </c>
      <c r="O48" s="7">
        <f t="shared" si="1"/>
        <v>-0.34803845700000124</v>
      </c>
      <c r="P48" s="7">
        <f t="shared" si="2"/>
        <v>0.41385817082968623</v>
      </c>
      <c r="Q48" s="7">
        <f t="shared" si="3"/>
        <v>0</v>
      </c>
      <c r="R48" s="3">
        <f t="shared" si="4"/>
        <v>0</v>
      </c>
      <c r="S48" s="3">
        <f t="shared" si="5"/>
        <v>0.58614182917031377</v>
      </c>
      <c r="T48" s="3">
        <f t="shared" si="6"/>
        <v>-0.53419348938861388</v>
      </c>
    </row>
    <row r="49" spans="1:20" x14ac:dyDescent="0.25">
      <c r="A49" s="3">
        <v>70</v>
      </c>
      <c r="B49" s="3">
        <v>1</v>
      </c>
      <c r="C49" s="3">
        <v>3</v>
      </c>
      <c r="D49" s="3">
        <v>160</v>
      </c>
      <c r="E49" s="3">
        <v>269</v>
      </c>
      <c r="F49" s="3">
        <v>0</v>
      </c>
      <c r="G49" s="3">
        <v>0</v>
      </c>
      <c r="H49" s="3">
        <v>112</v>
      </c>
      <c r="I49" s="3">
        <v>1</v>
      </c>
      <c r="J49" s="3">
        <v>2.9</v>
      </c>
      <c r="K49" s="3">
        <v>2</v>
      </c>
      <c r="L49" s="3">
        <v>1</v>
      </c>
      <c r="M49" s="3">
        <v>7</v>
      </c>
      <c r="N49" s="3">
        <v>1</v>
      </c>
      <c r="O49" s="7">
        <f t="shared" si="1"/>
        <v>3.7916116945000002</v>
      </c>
      <c r="P49" s="7">
        <f t="shared" si="2"/>
        <v>0.97793847665100009</v>
      </c>
      <c r="Q49" s="7">
        <f t="shared" si="3"/>
        <v>1</v>
      </c>
      <c r="R49" s="3">
        <f t="shared" si="4"/>
        <v>0</v>
      </c>
      <c r="S49" s="3">
        <f t="shared" si="5"/>
        <v>0.97793847665100009</v>
      </c>
      <c r="T49" s="3">
        <f t="shared" si="6"/>
        <v>-2.2308518235883378E-2</v>
      </c>
    </row>
    <row r="50" spans="1:20" x14ac:dyDescent="0.25">
      <c r="A50" s="3">
        <v>53</v>
      </c>
      <c r="B50" s="3">
        <v>1</v>
      </c>
      <c r="C50" s="3">
        <v>4</v>
      </c>
      <c r="D50" s="3">
        <v>142</v>
      </c>
      <c r="E50" s="3">
        <v>226</v>
      </c>
      <c r="F50" s="3">
        <v>0</v>
      </c>
      <c r="G50" s="3">
        <v>2</v>
      </c>
      <c r="H50" s="3">
        <v>111</v>
      </c>
      <c r="I50" s="3">
        <v>1</v>
      </c>
      <c r="J50" s="3">
        <v>0</v>
      </c>
      <c r="K50" s="3">
        <v>1</v>
      </c>
      <c r="L50" s="3">
        <v>0</v>
      </c>
      <c r="M50" s="3">
        <v>7</v>
      </c>
      <c r="N50" s="3">
        <v>0</v>
      </c>
      <c r="O50" s="7">
        <f t="shared" si="1"/>
        <v>1.7299186739999985</v>
      </c>
      <c r="P50" s="7">
        <f t="shared" si="2"/>
        <v>0.84940201747177346</v>
      </c>
      <c r="Q50" s="7">
        <f t="shared" si="3"/>
        <v>1</v>
      </c>
      <c r="R50" s="3">
        <f t="shared" si="4"/>
        <v>1</v>
      </c>
      <c r="S50" s="3">
        <f t="shared" si="5"/>
        <v>0.15059798252822654</v>
      </c>
      <c r="T50" s="3">
        <f t="shared" si="6"/>
        <v>-1.8931413599329896</v>
      </c>
    </row>
    <row r="51" spans="1:20" x14ac:dyDescent="0.25">
      <c r="A51" s="3">
        <v>59</v>
      </c>
      <c r="B51" s="3">
        <v>1</v>
      </c>
      <c r="C51" s="3">
        <v>1</v>
      </c>
      <c r="D51" s="3">
        <v>178</v>
      </c>
      <c r="E51" s="3">
        <v>270</v>
      </c>
      <c r="F51" s="3">
        <v>0</v>
      </c>
      <c r="G51" s="3">
        <v>2</v>
      </c>
      <c r="H51" s="3">
        <v>145</v>
      </c>
      <c r="I51" s="3">
        <v>0</v>
      </c>
      <c r="J51" s="3">
        <v>4.2</v>
      </c>
      <c r="K51" s="3">
        <v>3</v>
      </c>
      <c r="L51" s="3">
        <v>0</v>
      </c>
      <c r="M51" s="3">
        <v>7</v>
      </c>
      <c r="N51" s="3">
        <v>0</v>
      </c>
      <c r="O51" s="7">
        <f t="shared" si="1"/>
        <v>1.6068932959999991</v>
      </c>
      <c r="P51" s="7">
        <f t="shared" si="2"/>
        <v>0.83297961454880476</v>
      </c>
      <c r="Q51" s="7">
        <f t="shared" si="3"/>
        <v>1</v>
      </c>
      <c r="R51" s="3">
        <f t="shared" si="4"/>
        <v>1</v>
      </c>
      <c r="S51" s="3">
        <f t="shared" si="5"/>
        <v>0.16702038545119524</v>
      </c>
      <c r="T51" s="3">
        <f t="shared" si="6"/>
        <v>-1.7896394054451121</v>
      </c>
    </row>
    <row r="52" spans="1:20" x14ac:dyDescent="0.25">
      <c r="A52" s="3">
        <v>69</v>
      </c>
      <c r="B52" s="3">
        <v>1</v>
      </c>
      <c r="C52" s="3">
        <v>3</v>
      </c>
      <c r="D52" s="3">
        <v>140</v>
      </c>
      <c r="E52" s="3">
        <v>254</v>
      </c>
      <c r="F52" s="3">
        <v>0</v>
      </c>
      <c r="G52" s="3">
        <v>2</v>
      </c>
      <c r="H52" s="3">
        <v>146</v>
      </c>
      <c r="I52" s="3">
        <v>0</v>
      </c>
      <c r="J52" s="3">
        <v>2</v>
      </c>
      <c r="K52" s="3">
        <v>2</v>
      </c>
      <c r="L52" s="3">
        <v>3</v>
      </c>
      <c r="M52" s="3">
        <v>7</v>
      </c>
      <c r="N52" s="3">
        <v>1</v>
      </c>
      <c r="O52" s="7">
        <f t="shared" si="1"/>
        <v>4.784893842999999</v>
      </c>
      <c r="P52" s="7">
        <f t="shared" si="2"/>
        <v>0.99171421716008734</v>
      </c>
      <c r="Q52" s="7">
        <f t="shared" si="3"/>
        <v>1</v>
      </c>
      <c r="R52" s="3">
        <f t="shared" si="4"/>
        <v>0</v>
      </c>
      <c r="S52" s="3">
        <f t="shared" si="5"/>
        <v>0.99171421716008734</v>
      </c>
      <c r="T52" s="3">
        <f t="shared" si="6"/>
        <v>-8.3203007426858235E-3</v>
      </c>
    </row>
    <row r="53" spans="1:20" x14ac:dyDescent="0.25">
      <c r="A53" s="3">
        <v>64</v>
      </c>
      <c r="B53" s="3">
        <v>0</v>
      </c>
      <c r="C53" s="3">
        <v>4</v>
      </c>
      <c r="D53" s="3">
        <v>180</v>
      </c>
      <c r="E53" s="3">
        <v>325</v>
      </c>
      <c r="F53" s="3">
        <v>0</v>
      </c>
      <c r="G53" s="3">
        <v>0</v>
      </c>
      <c r="H53" s="3">
        <v>154</v>
      </c>
      <c r="I53" s="3">
        <v>1</v>
      </c>
      <c r="J53" s="3">
        <v>0</v>
      </c>
      <c r="K53" s="3">
        <v>1</v>
      </c>
      <c r="L53" s="3">
        <v>0</v>
      </c>
      <c r="M53" s="3">
        <v>3</v>
      </c>
      <c r="N53" s="3">
        <v>0</v>
      </c>
      <c r="O53" s="7">
        <f t="shared" si="1"/>
        <v>-0.48028971100000106</v>
      </c>
      <c r="P53" s="7">
        <f t="shared" si="2"/>
        <v>0.38218371653097055</v>
      </c>
      <c r="Q53" s="7">
        <f t="shared" si="3"/>
        <v>0</v>
      </c>
      <c r="R53" s="3">
        <f t="shared" si="4"/>
        <v>0</v>
      </c>
      <c r="S53" s="3">
        <f t="shared" si="5"/>
        <v>0.6178162834690295</v>
      </c>
      <c r="T53" s="3">
        <f t="shared" si="6"/>
        <v>-0.48156414165977929</v>
      </c>
    </row>
    <row r="54" spans="1:20" x14ac:dyDescent="0.25">
      <c r="A54" s="3">
        <v>55</v>
      </c>
      <c r="B54" s="3">
        <v>1</v>
      </c>
      <c r="C54" s="3">
        <v>2</v>
      </c>
      <c r="D54" s="3">
        <v>130</v>
      </c>
      <c r="E54" s="3">
        <v>262</v>
      </c>
      <c r="F54" s="3">
        <v>0</v>
      </c>
      <c r="G54" s="3">
        <v>0</v>
      </c>
      <c r="H54" s="3">
        <v>155</v>
      </c>
      <c r="I54" s="3">
        <v>0</v>
      </c>
      <c r="J54" s="3">
        <v>0</v>
      </c>
      <c r="K54" s="3">
        <v>1</v>
      </c>
      <c r="L54" s="3">
        <v>0</v>
      </c>
      <c r="M54" s="3">
        <v>3</v>
      </c>
      <c r="N54" s="3">
        <v>0</v>
      </c>
      <c r="O54" s="7">
        <f t="shared" si="1"/>
        <v>-3.5898478840000001</v>
      </c>
      <c r="P54" s="7">
        <f t="shared" si="2"/>
        <v>2.6861094746437927E-2</v>
      </c>
      <c r="Q54" s="7">
        <f t="shared" si="3"/>
        <v>0</v>
      </c>
      <c r="R54" s="3">
        <f t="shared" si="4"/>
        <v>0</v>
      </c>
      <c r="S54" s="3">
        <f t="shared" si="5"/>
        <v>0.97313890525356206</v>
      </c>
      <c r="T54" s="3">
        <f t="shared" si="6"/>
        <v>-2.7228447218059258E-2</v>
      </c>
    </row>
    <row r="55" spans="1:20" x14ac:dyDescent="0.25">
      <c r="A55" s="3">
        <v>46</v>
      </c>
      <c r="B55" s="3">
        <v>0</v>
      </c>
      <c r="C55" s="3">
        <v>2</v>
      </c>
      <c r="D55" s="3">
        <v>105</v>
      </c>
      <c r="E55" s="3">
        <v>204</v>
      </c>
      <c r="F55" s="3">
        <v>0</v>
      </c>
      <c r="G55" s="3">
        <v>0</v>
      </c>
      <c r="H55" s="3">
        <v>172</v>
      </c>
      <c r="I55" s="3">
        <v>0</v>
      </c>
      <c r="J55" s="3">
        <v>0</v>
      </c>
      <c r="K55" s="3">
        <v>1</v>
      </c>
      <c r="L55" s="3">
        <v>0</v>
      </c>
      <c r="M55" s="3">
        <v>3</v>
      </c>
      <c r="N55" s="3">
        <v>0</v>
      </c>
      <c r="O55" s="7">
        <f t="shared" si="1"/>
        <v>-5.6735914380000008</v>
      </c>
      <c r="P55" s="7">
        <f t="shared" si="2"/>
        <v>3.4237424080507299E-3</v>
      </c>
      <c r="Q55" s="7">
        <f t="shared" si="3"/>
        <v>0</v>
      </c>
      <c r="R55" s="3">
        <f t="shared" si="4"/>
        <v>0</v>
      </c>
      <c r="S55" s="3">
        <f t="shared" si="5"/>
        <v>0.99657625759194923</v>
      </c>
      <c r="T55" s="3">
        <f t="shared" si="6"/>
        <v>-3.4296168262514773E-3</v>
      </c>
    </row>
    <row r="56" spans="1:20" x14ac:dyDescent="0.25">
      <c r="A56" s="3">
        <v>47</v>
      </c>
      <c r="B56" s="3">
        <v>1</v>
      </c>
      <c r="C56" s="3">
        <v>4</v>
      </c>
      <c r="D56" s="3">
        <v>112</v>
      </c>
      <c r="E56" s="3">
        <v>204</v>
      </c>
      <c r="F56" s="3">
        <v>0</v>
      </c>
      <c r="G56" s="3">
        <v>0</v>
      </c>
      <c r="H56" s="3">
        <v>143</v>
      </c>
      <c r="I56" s="3">
        <v>0</v>
      </c>
      <c r="J56" s="3">
        <v>0.1</v>
      </c>
      <c r="K56" s="3">
        <v>1</v>
      </c>
      <c r="L56" s="3">
        <v>0</v>
      </c>
      <c r="M56" s="3">
        <v>3</v>
      </c>
      <c r="N56" s="3">
        <v>0</v>
      </c>
      <c r="O56" s="7">
        <f t="shared" si="1"/>
        <v>-2.2574420665000003</v>
      </c>
      <c r="P56" s="7">
        <f t="shared" si="2"/>
        <v>9.4709457834713212E-2</v>
      </c>
      <c r="Q56" s="7">
        <f t="shared" si="3"/>
        <v>0</v>
      </c>
      <c r="R56" s="3">
        <f t="shared" si="4"/>
        <v>0</v>
      </c>
      <c r="S56" s="3">
        <f t="shared" si="5"/>
        <v>0.90529054216528682</v>
      </c>
      <c r="T56" s="3">
        <f t="shared" si="6"/>
        <v>-9.9499345738251921E-2</v>
      </c>
    </row>
    <row r="57" spans="1:20" x14ac:dyDescent="0.25">
      <c r="A57" s="3">
        <v>54</v>
      </c>
      <c r="B57" s="3">
        <v>1</v>
      </c>
      <c r="C57" s="3">
        <v>4</v>
      </c>
      <c r="D57" s="3">
        <v>110</v>
      </c>
      <c r="E57" s="3">
        <v>206</v>
      </c>
      <c r="F57" s="3">
        <v>0</v>
      </c>
      <c r="G57" s="3">
        <v>2</v>
      </c>
      <c r="H57" s="3">
        <v>108</v>
      </c>
      <c r="I57" s="3">
        <v>1</v>
      </c>
      <c r="J57" s="3">
        <v>0</v>
      </c>
      <c r="K57" s="3">
        <v>2</v>
      </c>
      <c r="L57" s="3">
        <v>1</v>
      </c>
      <c r="M57" s="3">
        <v>3</v>
      </c>
      <c r="N57" s="3">
        <v>1</v>
      </c>
      <c r="O57" s="7">
        <f t="shared" si="1"/>
        <v>1.793411600999999</v>
      </c>
      <c r="P57" s="7">
        <f t="shared" si="2"/>
        <v>0.85734503964930042</v>
      </c>
      <c r="Q57" s="7">
        <f t="shared" si="3"/>
        <v>1</v>
      </c>
      <c r="R57" s="3">
        <f t="shared" si="4"/>
        <v>0</v>
      </c>
      <c r="S57" s="3">
        <f t="shared" si="5"/>
        <v>0.85734503964930042</v>
      </c>
      <c r="T57" s="3">
        <f t="shared" si="6"/>
        <v>-0.15391482805162457</v>
      </c>
    </row>
    <row r="58" spans="1:20" x14ac:dyDescent="0.25">
      <c r="A58" s="3">
        <v>66</v>
      </c>
      <c r="B58" s="3">
        <v>1</v>
      </c>
      <c r="C58" s="3">
        <v>4</v>
      </c>
      <c r="D58" s="3">
        <v>112</v>
      </c>
      <c r="E58" s="3">
        <v>212</v>
      </c>
      <c r="F58" s="3">
        <v>0</v>
      </c>
      <c r="G58" s="3">
        <v>2</v>
      </c>
      <c r="H58" s="3">
        <v>132</v>
      </c>
      <c r="I58" s="3">
        <v>1</v>
      </c>
      <c r="J58" s="3">
        <v>0.1</v>
      </c>
      <c r="K58" s="3">
        <v>1</v>
      </c>
      <c r="L58" s="3">
        <v>1</v>
      </c>
      <c r="M58" s="3">
        <v>3</v>
      </c>
      <c r="N58" s="3">
        <v>1</v>
      </c>
      <c r="O58" s="7">
        <f t="shared" si="1"/>
        <v>0.39638928950000007</v>
      </c>
      <c r="P58" s="7">
        <f t="shared" si="2"/>
        <v>0.59781983982526243</v>
      </c>
      <c r="Q58" s="7">
        <f t="shared" si="3"/>
        <v>1</v>
      </c>
      <c r="R58" s="3">
        <f t="shared" si="4"/>
        <v>0</v>
      </c>
      <c r="S58" s="3">
        <f t="shared" si="5"/>
        <v>0.59781983982526243</v>
      </c>
      <c r="T58" s="3">
        <f t="shared" si="6"/>
        <v>-0.51446584161800213</v>
      </c>
    </row>
    <row r="59" spans="1:20" x14ac:dyDescent="0.25">
      <c r="A59" s="3">
        <v>55</v>
      </c>
      <c r="B59" s="3">
        <v>0</v>
      </c>
      <c r="C59" s="3">
        <v>4</v>
      </c>
      <c r="D59" s="3">
        <v>180</v>
      </c>
      <c r="E59" s="3">
        <v>327</v>
      </c>
      <c r="F59" s="3">
        <v>0</v>
      </c>
      <c r="G59" s="3">
        <v>1</v>
      </c>
      <c r="H59" s="3">
        <v>117</v>
      </c>
      <c r="I59" s="3">
        <v>1</v>
      </c>
      <c r="J59" s="3">
        <v>3.4</v>
      </c>
      <c r="K59" s="3">
        <v>2</v>
      </c>
      <c r="L59" s="3">
        <v>0</v>
      </c>
      <c r="M59" s="3">
        <v>3</v>
      </c>
      <c r="N59" s="3">
        <v>1</v>
      </c>
      <c r="O59" s="7">
        <f t="shared" si="1"/>
        <v>2.2731491609999992</v>
      </c>
      <c r="P59" s="7">
        <f t="shared" si="2"/>
        <v>0.90662871555546276</v>
      </c>
      <c r="Q59" s="7">
        <f t="shared" si="3"/>
        <v>1</v>
      </c>
      <c r="R59" s="3">
        <f t="shared" si="4"/>
        <v>0</v>
      </c>
      <c r="S59" s="3">
        <f t="shared" si="5"/>
        <v>0.90662871555546276</v>
      </c>
      <c r="T59" s="3">
        <f t="shared" si="6"/>
        <v>-9.8022267079507314E-2</v>
      </c>
    </row>
    <row r="60" spans="1:20" x14ac:dyDescent="0.25">
      <c r="A60" s="3">
        <v>49</v>
      </c>
      <c r="B60" s="3">
        <v>1</v>
      </c>
      <c r="C60" s="3">
        <v>3</v>
      </c>
      <c r="D60" s="3">
        <v>118</v>
      </c>
      <c r="E60" s="3">
        <v>149</v>
      </c>
      <c r="F60" s="3">
        <v>0</v>
      </c>
      <c r="G60" s="3">
        <v>2</v>
      </c>
      <c r="H60" s="3">
        <v>126</v>
      </c>
      <c r="I60" s="3">
        <v>0</v>
      </c>
      <c r="J60" s="3">
        <v>0.8</v>
      </c>
      <c r="K60" s="3">
        <v>1</v>
      </c>
      <c r="L60" s="3">
        <v>3</v>
      </c>
      <c r="M60" s="3">
        <v>3</v>
      </c>
      <c r="N60" s="3">
        <v>1</v>
      </c>
      <c r="O60" s="7">
        <f t="shared" si="1"/>
        <v>2.1477337689999985</v>
      </c>
      <c r="P60" s="7">
        <f t="shared" si="2"/>
        <v>0.89545681619313888</v>
      </c>
      <c r="Q60" s="7">
        <f t="shared" si="3"/>
        <v>1</v>
      </c>
      <c r="R60" s="3">
        <f t="shared" si="4"/>
        <v>0</v>
      </c>
      <c r="S60" s="3">
        <f t="shared" si="5"/>
        <v>0.89545681619313888</v>
      </c>
      <c r="T60" s="3">
        <f t="shared" si="6"/>
        <v>-0.11042128176738243</v>
      </c>
    </row>
    <row r="61" spans="1:20" x14ac:dyDescent="0.25">
      <c r="A61" s="3">
        <v>74</v>
      </c>
      <c r="B61" s="3">
        <v>0</v>
      </c>
      <c r="C61" s="3">
        <v>2</v>
      </c>
      <c r="D61" s="3">
        <v>120</v>
      </c>
      <c r="E61" s="3">
        <v>269</v>
      </c>
      <c r="F61" s="3">
        <v>0</v>
      </c>
      <c r="G61" s="3">
        <v>2</v>
      </c>
      <c r="H61" s="3">
        <v>121</v>
      </c>
      <c r="I61" s="3">
        <v>1</v>
      </c>
      <c r="J61" s="3">
        <v>0.2</v>
      </c>
      <c r="K61" s="3">
        <v>1</v>
      </c>
      <c r="L61" s="3">
        <v>1</v>
      </c>
      <c r="M61" s="3">
        <v>3</v>
      </c>
      <c r="N61" s="3">
        <v>0</v>
      </c>
      <c r="O61" s="7">
        <f t="shared" si="1"/>
        <v>-1.6293563930000019</v>
      </c>
      <c r="P61" s="7">
        <f t="shared" si="2"/>
        <v>0.1639185480066804</v>
      </c>
      <c r="Q61" s="7">
        <f t="shared" si="3"/>
        <v>0</v>
      </c>
      <c r="R61" s="3">
        <f t="shared" si="4"/>
        <v>0</v>
      </c>
      <c r="S61" s="3">
        <f t="shared" si="5"/>
        <v>0.83608145199331962</v>
      </c>
      <c r="T61" s="3">
        <f t="shared" si="6"/>
        <v>-0.17902924002947074</v>
      </c>
    </row>
    <row r="62" spans="1:20" x14ac:dyDescent="0.25">
      <c r="A62" s="3">
        <v>52</v>
      </c>
      <c r="B62" s="3">
        <v>1</v>
      </c>
      <c r="C62" s="3">
        <v>4</v>
      </c>
      <c r="D62" s="3">
        <v>125</v>
      </c>
      <c r="E62" s="3">
        <v>212</v>
      </c>
      <c r="F62" s="3">
        <v>0</v>
      </c>
      <c r="G62" s="3">
        <v>0</v>
      </c>
      <c r="H62" s="3">
        <v>168</v>
      </c>
      <c r="I62" s="3">
        <v>0</v>
      </c>
      <c r="J62" s="3">
        <v>1</v>
      </c>
      <c r="K62" s="3">
        <v>1</v>
      </c>
      <c r="L62" s="3">
        <v>2</v>
      </c>
      <c r="M62" s="3">
        <v>7</v>
      </c>
      <c r="N62" s="3">
        <v>1</v>
      </c>
      <c r="O62" s="7">
        <f t="shared" si="1"/>
        <v>1.8100574280000004</v>
      </c>
      <c r="P62" s="7">
        <f t="shared" si="2"/>
        <v>0.85936881481576888</v>
      </c>
      <c r="Q62" s="7">
        <f t="shared" si="3"/>
        <v>1</v>
      </c>
      <c r="R62" s="3">
        <f t="shared" si="4"/>
        <v>0</v>
      </c>
      <c r="S62" s="3">
        <f t="shared" si="5"/>
        <v>0.85936881481576888</v>
      </c>
      <c r="T62" s="3">
        <f t="shared" si="6"/>
        <v>-0.15155709545838877</v>
      </c>
    </row>
    <row r="63" spans="1:20" x14ac:dyDescent="0.25">
      <c r="A63" s="3">
        <v>57</v>
      </c>
      <c r="B63" s="3">
        <v>1</v>
      </c>
      <c r="C63" s="3">
        <v>4</v>
      </c>
      <c r="D63" s="3">
        <v>110</v>
      </c>
      <c r="E63" s="3">
        <v>201</v>
      </c>
      <c r="F63" s="3">
        <v>0</v>
      </c>
      <c r="G63" s="3">
        <v>0</v>
      </c>
      <c r="H63" s="3">
        <v>126</v>
      </c>
      <c r="I63" s="3">
        <v>1</v>
      </c>
      <c r="J63" s="3">
        <v>1.5</v>
      </c>
      <c r="K63" s="3">
        <v>2</v>
      </c>
      <c r="L63" s="3">
        <v>0</v>
      </c>
      <c r="M63" s="3">
        <v>6</v>
      </c>
      <c r="N63" s="3">
        <v>0</v>
      </c>
      <c r="O63" s="7">
        <f t="shared" si="1"/>
        <v>0.73572531749999825</v>
      </c>
      <c r="P63" s="7">
        <f t="shared" si="2"/>
        <v>0.67606039452425781</v>
      </c>
      <c r="Q63" s="7">
        <f t="shared" si="3"/>
        <v>1</v>
      </c>
      <c r="R63" s="3">
        <f t="shared" si="4"/>
        <v>1</v>
      </c>
      <c r="S63" s="3">
        <f t="shared" si="5"/>
        <v>0.32393960547574219</v>
      </c>
      <c r="T63" s="3">
        <f t="shared" si="6"/>
        <v>-1.1271981834176261</v>
      </c>
    </row>
    <row r="64" spans="1:20" x14ac:dyDescent="0.25">
      <c r="A64" s="3">
        <v>61</v>
      </c>
      <c r="B64" s="3">
        <v>1</v>
      </c>
      <c r="C64" s="3">
        <v>4</v>
      </c>
      <c r="D64" s="3">
        <v>138</v>
      </c>
      <c r="E64" s="3">
        <v>166</v>
      </c>
      <c r="F64" s="3">
        <v>0</v>
      </c>
      <c r="G64" s="3">
        <v>2</v>
      </c>
      <c r="H64" s="3">
        <v>125</v>
      </c>
      <c r="I64" s="3">
        <v>1</v>
      </c>
      <c r="J64" s="3">
        <v>3.6</v>
      </c>
      <c r="K64" s="3">
        <v>2</v>
      </c>
      <c r="L64" s="3">
        <v>1</v>
      </c>
      <c r="M64" s="3">
        <v>3</v>
      </c>
      <c r="N64" s="3">
        <v>1</v>
      </c>
      <c r="O64" s="7">
        <f t="shared" si="1"/>
        <v>2.9437117779999991</v>
      </c>
      <c r="P64" s="7">
        <f t="shared" si="2"/>
        <v>0.94996544663885674</v>
      </c>
      <c r="Q64" s="7">
        <f t="shared" si="3"/>
        <v>1</v>
      </c>
      <c r="R64" s="3">
        <f t="shared" si="4"/>
        <v>0</v>
      </c>
      <c r="S64" s="3">
        <f t="shared" si="5"/>
        <v>0.94996544663885674</v>
      </c>
      <c r="T64" s="3">
        <f t="shared" si="6"/>
        <v>-5.1329667008124448E-2</v>
      </c>
    </row>
    <row r="65" spans="1:20" x14ac:dyDescent="0.25">
      <c r="A65" s="3">
        <v>59</v>
      </c>
      <c r="B65" s="3">
        <v>1</v>
      </c>
      <c r="C65" s="3">
        <v>3</v>
      </c>
      <c r="D65" s="3">
        <v>126</v>
      </c>
      <c r="E65" s="3">
        <v>218</v>
      </c>
      <c r="F65" s="3">
        <v>1</v>
      </c>
      <c r="G65" s="3">
        <v>0</v>
      </c>
      <c r="H65" s="3">
        <v>134</v>
      </c>
      <c r="I65" s="3">
        <v>0</v>
      </c>
      <c r="J65" s="3">
        <v>2.2000000000000002</v>
      </c>
      <c r="K65" s="3">
        <v>2</v>
      </c>
      <c r="L65" s="3">
        <v>1</v>
      </c>
      <c r="M65" s="3">
        <v>6</v>
      </c>
      <c r="N65" s="3">
        <v>1</v>
      </c>
      <c r="O65" s="7">
        <f t="shared" si="1"/>
        <v>0.58177076199999789</v>
      </c>
      <c r="P65" s="7">
        <f t="shared" si="2"/>
        <v>0.64147475678648547</v>
      </c>
      <c r="Q65" s="7">
        <f t="shared" si="3"/>
        <v>1</v>
      </c>
      <c r="R65" s="3">
        <f t="shared" si="4"/>
        <v>0</v>
      </c>
      <c r="S65" s="3">
        <f t="shared" si="5"/>
        <v>0.64147475678648547</v>
      </c>
      <c r="T65" s="3">
        <f t="shared" si="6"/>
        <v>-0.44398544599455425</v>
      </c>
    </row>
    <row r="66" spans="1:20" x14ac:dyDescent="0.25">
      <c r="A66" s="3">
        <v>42</v>
      </c>
      <c r="B66" s="3">
        <v>1</v>
      </c>
      <c r="C66" s="3">
        <v>3</v>
      </c>
      <c r="D66" s="3">
        <v>130</v>
      </c>
      <c r="E66" s="3">
        <v>180</v>
      </c>
      <c r="F66" s="3">
        <v>0</v>
      </c>
      <c r="G66" s="3">
        <v>0</v>
      </c>
      <c r="H66" s="3">
        <v>150</v>
      </c>
      <c r="I66" s="3">
        <v>0</v>
      </c>
      <c r="J66" s="3">
        <v>0</v>
      </c>
      <c r="K66" s="3">
        <v>1</v>
      </c>
      <c r="L66" s="3">
        <v>0</v>
      </c>
      <c r="M66" s="3">
        <v>3</v>
      </c>
      <c r="N66" s="3">
        <v>0</v>
      </c>
      <c r="O66" s="7">
        <f t="shared" si="1"/>
        <v>-2.7075205160000007</v>
      </c>
      <c r="P66" s="7">
        <f t="shared" si="2"/>
        <v>6.253104342965024E-2</v>
      </c>
      <c r="Q66" s="7">
        <f t="shared" si="3"/>
        <v>0</v>
      </c>
      <c r="R66" s="3">
        <f t="shared" si="4"/>
        <v>0</v>
      </c>
      <c r="S66" s="3">
        <f t="shared" si="5"/>
        <v>0.93746895657034979</v>
      </c>
      <c r="T66" s="3">
        <f t="shared" si="6"/>
        <v>-6.4571634677445269E-2</v>
      </c>
    </row>
    <row r="67" spans="1:20" x14ac:dyDescent="0.25">
      <c r="A67" s="3">
        <v>58</v>
      </c>
      <c r="B67" s="3">
        <v>1</v>
      </c>
      <c r="C67" s="3">
        <v>4</v>
      </c>
      <c r="D67" s="3">
        <v>114</v>
      </c>
      <c r="E67" s="3">
        <v>318</v>
      </c>
      <c r="F67" s="3">
        <v>0</v>
      </c>
      <c r="G67" s="3">
        <v>1</v>
      </c>
      <c r="H67" s="3">
        <v>140</v>
      </c>
      <c r="I67" s="3">
        <v>0</v>
      </c>
      <c r="J67" s="3">
        <v>4.4000000000000004</v>
      </c>
      <c r="K67" s="3">
        <v>3</v>
      </c>
      <c r="L67" s="3">
        <v>3</v>
      </c>
      <c r="M67" s="3">
        <v>6</v>
      </c>
      <c r="N67" s="3">
        <v>1</v>
      </c>
      <c r="O67" s="7">
        <f t="shared" si="1"/>
        <v>6.0818625659999981</v>
      </c>
      <c r="P67" s="7">
        <f t="shared" si="2"/>
        <v>0.99772128565894547</v>
      </c>
      <c r="Q67" s="7">
        <f t="shared" si="3"/>
        <v>1</v>
      </c>
      <c r="R67" s="3">
        <f t="shared" si="4"/>
        <v>0</v>
      </c>
      <c r="S67" s="3">
        <f t="shared" si="5"/>
        <v>0.99772128565894547</v>
      </c>
      <c r="T67" s="3">
        <f t="shared" si="6"/>
        <v>-2.2813145614359221E-3</v>
      </c>
    </row>
    <row r="68" spans="1:20" x14ac:dyDescent="0.25">
      <c r="A68" s="3">
        <v>57</v>
      </c>
      <c r="B68" s="3">
        <v>0</v>
      </c>
      <c r="C68" s="3">
        <v>4</v>
      </c>
      <c r="D68" s="3">
        <v>140</v>
      </c>
      <c r="E68" s="3">
        <v>241</v>
      </c>
      <c r="F68" s="3">
        <v>0</v>
      </c>
      <c r="G68" s="3">
        <v>0</v>
      </c>
      <c r="H68" s="3">
        <v>123</v>
      </c>
      <c r="I68" s="3">
        <v>1</v>
      </c>
      <c r="J68" s="3">
        <v>0.2</v>
      </c>
      <c r="K68" s="3">
        <v>2</v>
      </c>
      <c r="L68" s="3">
        <v>0</v>
      </c>
      <c r="M68" s="3">
        <v>7</v>
      </c>
      <c r="N68" s="3">
        <v>1</v>
      </c>
      <c r="O68" s="7">
        <f t="shared" si="1"/>
        <v>0.92161590799999971</v>
      </c>
      <c r="P68" s="7">
        <f t="shared" si="2"/>
        <v>0.71537124365088867</v>
      </c>
      <c r="Q68" s="7">
        <f t="shared" si="3"/>
        <v>1</v>
      </c>
      <c r="R68" s="3">
        <f t="shared" si="4"/>
        <v>0</v>
      </c>
      <c r="S68" s="3">
        <f t="shared" si="5"/>
        <v>0.71537124365088867</v>
      </c>
      <c r="T68" s="3">
        <f t="shared" si="6"/>
        <v>-0.33495364914781872</v>
      </c>
    </row>
    <row r="69" spans="1:20" x14ac:dyDescent="0.25">
      <c r="A69" s="3">
        <v>68</v>
      </c>
      <c r="B69" s="3">
        <v>1</v>
      </c>
      <c r="C69" s="3">
        <v>4</v>
      </c>
      <c r="D69" s="3">
        <v>144</v>
      </c>
      <c r="E69" s="3">
        <v>193</v>
      </c>
      <c r="F69" s="3">
        <v>1</v>
      </c>
      <c r="G69" s="3">
        <v>0</v>
      </c>
      <c r="H69" s="3">
        <v>141</v>
      </c>
      <c r="I69" s="3">
        <v>0</v>
      </c>
      <c r="J69" s="3">
        <v>3.4</v>
      </c>
      <c r="K69" s="3">
        <v>2</v>
      </c>
      <c r="L69" s="3">
        <v>2</v>
      </c>
      <c r="M69" s="3">
        <v>7</v>
      </c>
      <c r="N69" s="3">
        <v>1</v>
      </c>
      <c r="O69" s="7">
        <f t="shared" si="1"/>
        <v>3.6439632309999972</v>
      </c>
      <c r="P69" s="7">
        <f t="shared" si="2"/>
        <v>0.97451781528828874</v>
      </c>
      <c r="Q69" s="7">
        <f t="shared" si="3"/>
        <v>1</v>
      </c>
      <c r="R69" s="3">
        <f t="shared" si="4"/>
        <v>0</v>
      </c>
      <c r="S69" s="3">
        <f t="shared" si="5"/>
        <v>0.97451781528828874</v>
      </c>
      <c r="T69" s="3">
        <f t="shared" si="6"/>
        <v>-2.581247873596236E-2</v>
      </c>
    </row>
    <row r="70" spans="1:20" x14ac:dyDescent="0.25">
      <c r="A70" s="3">
        <v>57</v>
      </c>
      <c r="B70" s="3">
        <v>0</v>
      </c>
      <c r="C70" s="3">
        <v>2</v>
      </c>
      <c r="D70" s="3">
        <v>130</v>
      </c>
      <c r="E70" s="3">
        <v>236</v>
      </c>
      <c r="F70" s="3">
        <v>0</v>
      </c>
      <c r="G70" s="3">
        <v>2</v>
      </c>
      <c r="H70" s="3">
        <v>174</v>
      </c>
      <c r="I70" s="3">
        <v>0</v>
      </c>
      <c r="J70" s="3">
        <v>0</v>
      </c>
      <c r="K70" s="3">
        <v>2</v>
      </c>
      <c r="L70" s="3">
        <v>1</v>
      </c>
      <c r="M70" s="3">
        <v>3</v>
      </c>
      <c r="N70" s="3">
        <v>1</v>
      </c>
      <c r="O70" s="7">
        <f t="shared" si="1"/>
        <v>-2.245655751000001</v>
      </c>
      <c r="P70" s="7">
        <f t="shared" si="2"/>
        <v>9.5724850188431757E-2</v>
      </c>
      <c r="Q70" s="7">
        <f t="shared" si="3"/>
        <v>0</v>
      </c>
      <c r="R70" s="3">
        <f t="shared" si="4"/>
        <v>1</v>
      </c>
      <c r="S70" s="3">
        <f t="shared" si="5"/>
        <v>9.5724850188431757E-2</v>
      </c>
      <c r="T70" s="3">
        <f t="shared" si="6"/>
        <v>-2.3462773466403037</v>
      </c>
    </row>
    <row r="71" spans="1:20" x14ac:dyDescent="0.25">
      <c r="A71" s="3">
        <v>56</v>
      </c>
      <c r="B71" s="3">
        <v>1</v>
      </c>
      <c r="C71" s="3">
        <v>2</v>
      </c>
      <c r="D71" s="3">
        <v>120</v>
      </c>
      <c r="E71" s="3">
        <v>236</v>
      </c>
      <c r="F71" s="3">
        <v>0</v>
      </c>
      <c r="G71" s="3">
        <v>0</v>
      </c>
      <c r="H71" s="3">
        <v>178</v>
      </c>
      <c r="I71" s="3">
        <v>0</v>
      </c>
      <c r="J71" s="3">
        <v>0.8</v>
      </c>
      <c r="K71" s="3">
        <v>1</v>
      </c>
      <c r="L71" s="3">
        <v>0</v>
      </c>
      <c r="M71" s="3">
        <v>3</v>
      </c>
      <c r="N71" s="3">
        <v>0</v>
      </c>
      <c r="O71" s="7">
        <f t="shared" ref="O71:O134" si="7">SUMPRODUCT(A$4:M$4, A71:M71)+N$4</f>
        <v>-4.2761323290000011</v>
      </c>
      <c r="P71" s="7">
        <f t="shared" ref="P71:P134" si="8">1/(1+EXP(0-O71))</f>
        <v>1.3705844034405855E-2</v>
      </c>
      <c r="Q71" s="7">
        <f t="shared" ref="Q71:Q134" si="9">IF(P71&lt;=0.5, 0, 1)</f>
        <v>0</v>
      </c>
      <c r="R71" s="3">
        <f t="shared" ref="R71:R134" si="10">IF(N71=Q71, 0, 1)</f>
        <v>0</v>
      </c>
      <c r="S71" s="3">
        <f t="shared" ref="S71:S134" si="11">IF(N71=1, P71, 1-P71)</f>
        <v>0.98629415596559411</v>
      </c>
      <c r="T71" s="3">
        <f t="shared" ref="T71:T134" si="12">IF(S71=0, -100000, LN(S71))</f>
        <v>-1.3800636249523213E-2</v>
      </c>
    </row>
    <row r="72" spans="1:20" x14ac:dyDescent="0.25">
      <c r="A72" s="3">
        <v>62</v>
      </c>
      <c r="B72" s="3">
        <v>0</v>
      </c>
      <c r="C72" s="3">
        <v>4</v>
      </c>
      <c r="D72" s="3">
        <v>140</v>
      </c>
      <c r="E72" s="3">
        <v>268</v>
      </c>
      <c r="F72" s="3">
        <v>0</v>
      </c>
      <c r="G72" s="3">
        <v>2</v>
      </c>
      <c r="H72" s="3">
        <v>160</v>
      </c>
      <c r="I72" s="3">
        <v>0</v>
      </c>
      <c r="J72" s="3">
        <v>3.6</v>
      </c>
      <c r="K72" s="3">
        <v>3</v>
      </c>
      <c r="L72" s="3">
        <v>2</v>
      </c>
      <c r="M72" s="3">
        <v>3</v>
      </c>
      <c r="N72" s="3">
        <v>1</v>
      </c>
      <c r="O72" s="7">
        <f t="shared" si="7"/>
        <v>3.1294246979999993</v>
      </c>
      <c r="P72" s="7">
        <f t="shared" si="8"/>
        <v>0.95809029876784868</v>
      </c>
      <c r="Q72" s="7">
        <f t="shared" si="9"/>
        <v>1</v>
      </c>
      <c r="R72" s="3">
        <f t="shared" si="10"/>
        <v>0</v>
      </c>
      <c r="S72" s="3">
        <f t="shared" si="11"/>
        <v>0.95809029876784868</v>
      </c>
      <c r="T72" s="3">
        <f t="shared" si="12"/>
        <v>-4.2813247866762813E-2</v>
      </c>
    </row>
    <row r="73" spans="1:20" x14ac:dyDescent="0.25">
      <c r="A73" s="3">
        <v>57</v>
      </c>
      <c r="B73" s="3">
        <v>1</v>
      </c>
      <c r="C73" s="3">
        <v>3</v>
      </c>
      <c r="D73" s="3">
        <v>150</v>
      </c>
      <c r="E73" s="3">
        <v>168</v>
      </c>
      <c r="F73" s="3">
        <v>0</v>
      </c>
      <c r="G73" s="3">
        <v>0</v>
      </c>
      <c r="H73" s="3">
        <v>174</v>
      </c>
      <c r="I73" s="3">
        <v>0</v>
      </c>
      <c r="J73" s="3">
        <v>1.6</v>
      </c>
      <c r="K73" s="3">
        <v>1</v>
      </c>
      <c r="L73" s="3">
        <v>0</v>
      </c>
      <c r="M73" s="3">
        <v>3</v>
      </c>
      <c r="N73" s="3">
        <v>0</v>
      </c>
      <c r="O73" s="7">
        <f t="shared" si="7"/>
        <v>-2.4271280750000006</v>
      </c>
      <c r="P73" s="7">
        <f t="shared" si="8"/>
        <v>8.11272993811398E-2</v>
      </c>
      <c r="Q73" s="7">
        <f t="shared" si="9"/>
        <v>0</v>
      </c>
      <c r="R73" s="3">
        <f t="shared" si="10"/>
        <v>0</v>
      </c>
      <c r="S73" s="3">
        <f t="shared" si="11"/>
        <v>0.91887270061886017</v>
      </c>
      <c r="T73" s="3">
        <f t="shared" si="12"/>
        <v>-8.4607685678326702E-2</v>
      </c>
    </row>
    <row r="74" spans="1:20" x14ac:dyDescent="0.25">
      <c r="A74" s="3">
        <v>54</v>
      </c>
      <c r="B74" s="3">
        <v>1</v>
      </c>
      <c r="C74" s="3">
        <v>4</v>
      </c>
      <c r="D74" s="3">
        <v>140</v>
      </c>
      <c r="E74" s="3">
        <v>239</v>
      </c>
      <c r="F74" s="3">
        <v>0</v>
      </c>
      <c r="G74" s="3">
        <v>0</v>
      </c>
      <c r="H74" s="3">
        <v>160</v>
      </c>
      <c r="I74" s="3">
        <v>0</v>
      </c>
      <c r="J74" s="3">
        <v>1.2</v>
      </c>
      <c r="K74" s="3">
        <v>1</v>
      </c>
      <c r="L74" s="3">
        <v>0</v>
      </c>
      <c r="M74" s="3">
        <v>3</v>
      </c>
      <c r="N74" s="3">
        <v>0</v>
      </c>
      <c r="O74" s="7">
        <f t="shared" si="7"/>
        <v>-1.4911029520000012</v>
      </c>
      <c r="P74" s="7">
        <f t="shared" si="8"/>
        <v>0.18375623807183608</v>
      </c>
      <c r="Q74" s="7">
        <f t="shared" si="9"/>
        <v>0</v>
      </c>
      <c r="R74" s="3">
        <f t="shared" si="10"/>
        <v>0</v>
      </c>
      <c r="S74" s="3">
        <f t="shared" si="11"/>
        <v>0.81624376192816395</v>
      </c>
      <c r="T74" s="3">
        <f t="shared" si="12"/>
        <v>-0.20304224077516908</v>
      </c>
    </row>
    <row r="75" spans="1:20" x14ac:dyDescent="0.25">
      <c r="A75" s="3">
        <v>48</v>
      </c>
      <c r="B75" s="3">
        <v>0</v>
      </c>
      <c r="C75" s="3">
        <v>3</v>
      </c>
      <c r="D75" s="3">
        <v>130</v>
      </c>
      <c r="E75" s="3">
        <v>275</v>
      </c>
      <c r="F75" s="3">
        <v>0</v>
      </c>
      <c r="G75" s="3">
        <v>0</v>
      </c>
      <c r="H75" s="3">
        <v>139</v>
      </c>
      <c r="I75" s="3">
        <v>0</v>
      </c>
      <c r="J75" s="3">
        <v>0.2</v>
      </c>
      <c r="K75" s="3">
        <v>1</v>
      </c>
      <c r="L75" s="3">
        <v>0</v>
      </c>
      <c r="M75" s="3">
        <v>3</v>
      </c>
      <c r="N75" s="3">
        <v>0</v>
      </c>
      <c r="O75" s="7">
        <f t="shared" si="7"/>
        <v>-3.1749235190000009</v>
      </c>
      <c r="P75" s="7">
        <f t="shared" si="8"/>
        <v>4.0120377193788637E-2</v>
      </c>
      <c r="Q75" s="7">
        <f t="shared" si="9"/>
        <v>0</v>
      </c>
      <c r="R75" s="3">
        <f t="shared" si="10"/>
        <v>0</v>
      </c>
      <c r="S75" s="3">
        <f t="shared" si="11"/>
        <v>0.95987962280621142</v>
      </c>
      <c r="T75" s="3">
        <f t="shared" si="12"/>
        <v>-4.0947395292799796E-2</v>
      </c>
    </row>
    <row r="76" spans="1:20" x14ac:dyDescent="0.25">
      <c r="A76" s="3">
        <v>58</v>
      </c>
      <c r="B76" s="3">
        <v>0</v>
      </c>
      <c r="C76" s="3">
        <v>1</v>
      </c>
      <c r="D76" s="3">
        <v>150</v>
      </c>
      <c r="E76" s="3">
        <v>283</v>
      </c>
      <c r="F76" s="3">
        <v>1</v>
      </c>
      <c r="G76" s="3">
        <v>2</v>
      </c>
      <c r="H76" s="3">
        <v>162</v>
      </c>
      <c r="I76" s="3">
        <v>0</v>
      </c>
      <c r="J76" s="3">
        <v>1</v>
      </c>
      <c r="K76" s="3">
        <v>1</v>
      </c>
      <c r="L76" s="3">
        <v>0</v>
      </c>
      <c r="M76" s="3">
        <v>3</v>
      </c>
      <c r="N76" s="3">
        <v>0</v>
      </c>
      <c r="O76" s="7">
        <f t="shared" si="7"/>
        <v>-4.6385586760000006</v>
      </c>
      <c r="P76" s="7">
        <f t="shared" si="8"/>
        <v>9.5789831777946029E-3</v>
      </c>
      <c r="Q76" s="7">
        <f t="shared" si="9"/>
        <v>0</v>
      </c>
      <c r="R76" s="3">
        <f t="shared" si="10"/>
        <v>0</v>
      </c>
      <c r="S76" s="3">
        <f t="shared" si="11"/>
        <v>0.9904210168222054</v>
      </c>
      <c r="T76" s="3">
        <f t="shared" si="12"/>
        <v>-9.6251567375743724E-3</v>
      </c>
    </row>
    <row r="77" spans="1:20" x14ac:dyDescent="0.25">
      <c r="A77" s="3">
        <v>58</v>
      </c>
      <c r="B77" s="3">
        <v>1</v>
      </c>
      <c r="C77" s="3">
        <v>2</v>
      </c>
      <c r="D77" s="3">
        <v>120</v>
      </c>
      <c r="E77" s="3">
        <v>284</v>
      </c>
      <c r="F77" s="3">
        <v>0</v>
      </c>
      <c r="G77" s="3">
        <v>2</v>
      </c>
      <c r="H77" s="3">
        <v>160</v>
      </c>
      <c r="I77" s="3">
        <v>0</v>
      </c>
      <c r="J77" s="3">
        <v>1.8</v>
      </c>
      <c r="K77" s="3">
        <v>2</v>
      </c>
      <c r="L77" s="3">
        <v>0</v>
      </c>
      <c r="M77" s="3">
        <v>3</v>
      </c>
      <c r="N77" s="3">
        <v>1</v>
      </c>
      <c r="O77" s="7">
        <f t="shared" si="7"/>
        <v>-2.2386509029999999</v>
      </c>
      <c r="P77" s="7">
        <f t="shared" si="8"/>
        <v>9.6332920561366484E-2</v>
      </c>
      <c r="Q77" s="7">
        <f t="shared" si="9"/>
        <v>0</v>
      </c>
      <c r="R77" s="3">
        <f t="shared" si="10"/>
        <v>1</v>
      </c>
      <c r="S77" s="3">
        <f t="shared" si="11"/>
        <v>9.6332920561366484E-2</v>
      </c>
      <c r="T77" s="3">
        <f t="shared" si="12"/>
        <v>-2.3399451643771001</v>
      </c>
    </row>
    <row r="78" spans="1:20" x14ac:dyDescent="0.25">
      <c r="A78" s="3">
        <v>58</v>
      </c>
      <c r="B78" s="3">
        <v>1</v>
      </c>
      <c r="C78" s="3">
        <v>3</v>
      </c>
      <c r="D78" s="3">
        <v>132</v>
      </c>
      <c r="E78" s="3">
        <v>224</v>
      </c>
      <c r="F78" s="3">
        <v>0</v>
      </c>
      <c r="G78" s="3">
        <v>2</v>
      </c>
      <c r="H78" s="3">
        <v>173</v>
      </c>
      <c r="I78" s="3">
        <v>0</v>
      </c>
      <c r="J78" s="3">
        <v>3.2</v>
      </c>
      <c r="K78" s="3">
        <v>1</v>
      </c>
      <c r="L78" s="3">
        <v>2</v>
      </c>
      <c r="M78" s="3">
        <v>7</v>
      </c>
      <c r="N78" s="3">
        <v>1</v>
      </c>
      <c r="O78" s="7">
        <f t="shared" si="7"/>
        <v>2.0287640419999988</v>
      </c>
      <c r="P78" s="7">
        <f t="shared" si="8"/>
        <v>0.88378419326703517</v>
      </c>
      <c r="Q78" s="7">
        <f t="shared" si="9"/>
        <v>1</v>
      </c>
      <c r="R78" s="3">
        <f t="shared" si="10"/>
        <v>0</v>
      </c>
      <c r="S78" s="3">
        <f t="shared" si="11"/>
        <v>0.88378419326703517</v>
      </c>
      <c r="T78" s="3">
        <f t="shared" si="12"/>
        <v>-0.12354237141145126</v>
      </c>
    </row>
    <row r="79" spans="1:20" x14ac:dyDescent="0.25">
      <c r="A79" s="3">
        <v>40</v>
      </c>
      <c r="B79" s="3">
        <v>1</v>
      </c>
      <c r="C79" s="3">
        <v>4</v>
      </c>
      <c r="D79" s="3">
        <v>110</v>
      </c>
      <c r="E79" s="3">
        <v>167</v>
      </c>
      <c r="F79" s="3">
        <v>0</v>
      </c>
      <c r="G79" s="3">
        <v>2</v>
      </c>
      <c r="H79" s="3">
        <v>114</v>
      </c>
      <c r="I79" s="3">
        <v>1</v>
      </c>
      <c r="J79" s="3">
        <v>2</v>
      </c>
      <c r="K79" s="3">
        <v>2</v>
      </c>
      <c r="L79" s="3">
        <v>0</v>
      </c>
      <c r="M79" s="3">
        <v>7</v>
      </c>
      <c r="N79" s="3">
        <v>1</v>
      </c>
      <c r="O79" s="7">
        <f t="shared" si="7"/>
        <v>1.9895107469999989</v>
      </c>
      <c r="P79" s="7">
        <f t="shared" si="8"/>
        <v>0.87969136732059283</v>
      </c>
      <c r="Q79" s="7">
        <f t="shared" si="9"/>
        <v>1</v>
      </c>
      <c r="R79" s="3">
        <f t="shared" si="10"/>
        <v>0</v>
      </c>
      <c r="S79" s="3">
        <f t="shared" si="11"/>
        <v>0.87969136732059283</v>
      </c>
      <c r="T79" s="3">
        <f t="shared" si="12"/>
        <v>-0.12818415198003269</v>
      </c>
    </row>
    <row r="80" spans="1:20" x14ac:dyDescent="0.25">
      <c r="A80" s="3">
        <v>60</v>
      </c>
      <c r="B80" s="3">
        <v>1</v>
      </c>
      <c r="C80" s="3">
        <v>4</v>
      </c>
      <c r="D80" s="3">
        <v>117</v>
      </c>
      <c r="E80" s="3">
        <v>230</v>
      </c>
      <c r="F80" s="3">
        <v>1</v>
      </c>
      <c r="G80" s="3">
        <v>0</v>
      </c>
      <c r="H80" s="3">
        <v>160</v>
      </c>
      <c r="I80" s="3">
        <v>1</v>
      </c>
      <c r="J80" s="3">
        <v>1.4</v>
      </c>
      <c r="K80" s="3">
        <v>1</v>
      </c>
      <c r="L80" s="3">
        <v>2</v>
      </c>
      <c r="M80" s="3">
        <v>7</v>
      </c>
      <c r="N80" s="3">
        <v>1</v>
      </c>
      <c r="O80" s="7">
        <f t="shared" si="7"/>
        <v>2.0089438509999979</v>
      </c>
      <c r="P80" s="7">
        <f t="shared" si="8"/>
        <v>0.88173293140085274</v>
      </c>
      <c r="Q80" s="7">
        <f t="shared" si="9"/>
        <v>1</v>
      </c>
      <c r="R80" s="3">
        <f t="shared" si="10"/>
        <v>0</v>
      </c>
      <c r="S80" s="3">
        <f t="shared" si="11"/>
        <v>0.88173293140085274</v>
      </c>
      <c r="T80" s="3">
        <f t="shared" si="12"/>
        <v>-0.12586606769342484</v>
      </c>
    </row>
    <row r="81" spans="1:20" x14ac:dyDescent="0.25">
      <c r="A81" s="3">
        <v>59</v>
      </c>
      <c r="B81" s="3">
        <v>1</v>
      </c>
      <c r="C81" s="3">
        <v>4</v>
      </c>
      <c r="D81" s="3">
        <v>135</v>
      </c>
      <c r="E81" s="3">
        <v>234</v>
      </c>
      <c r="F81" s="3">
        <v>0</v>
      </c>
      <c r="G81" s="3">
        <v>0</v>
      </c>
      <c r="H81" s="3">
        <v>161</v>
      </c>
      <c r="I81" s="3">
        <v>0</v>
      </c>
      <c r="J81" s="3">
        <v>0.5</v>
      </c>
      <c r="K81" s="3">
        <v>2</v>
      </c>
      <c r="L81" s="3">
        <v>0</v>
      </c>
      <c r="M81" s="3">
        <v>7</v>
      </c>
      <c r="N81" s="3">
        <v>0</v>
      </c>
      <c r="O81" s="7">
        <f t="shared" si="7"/>
        <v>0.17572239449999927</v>
      </c>
      <c r="P81" s="7">
        <f t="shared" si="8"/>
        <v>0.54381790452342949</v>
      </c>
      <c r="Q81" s="7">
        <f t="shared" si="9"/>
        <v>1</v>
      </c>
      <c r="R81" s="3">
        <f t="shared" si="10"/>
        <v>1</v>
      </c>
      <c r="S81" s="3">
        <f t="shared" si="11"/>
        <v>0.45618209547657051</v>
      </c>
      <c r="T81" s="3">
        <f t="shared" si="12"/>
        <v>-0.78486321699416617</v>
      </c>
    </row>
    <row r="82" spans="1:20" x14ac:dyDescent="0.25">
      <c r="A82" s="3">
        <v>44</v>
      </c>
      <c r="B82" s="3">
        <v>1</v>
      </c>
      <c r="C82" s="3">
        <v>3</v>
      </c>
      <c r="D82" s="3">
        <v>130</v>
      </c>
      <c r="E82" s="3">
        <v>233</v>
      </c>
      <c r="F82" s="3">
        <v>0</v>
      </c>
      <c r="G82" s="3">
        <v>0</v>
      </c>
      <c r="H82" s="3">
        <v>179</v>
      </c>
      <c r="I82" s="3">
        <v>1</v>
      </c>
      <c r="J82" s="3">
        <v>0.4</v>
      </c>
      <c r="K82" s="3">
        <v>1</v>
      </c>
      <c r="L82" s="3">
        <v>0</v>
      </c>
      <c r="M82" s="3">
        <v>3</v>
      </c>
      <c r="N82" s="3">
        <v>0</v>
      </c>
      <c r="O82" s="7">
        <f t="shared" si="7"/>
        <v>-2.3870780210000007</v>
      </c>
      <c r="P82" s="7">
        <f t="shared" si="8"/>
        <v>8.4163384281044223E-2</v>
      </c>
      <c r="Q82" s="7">
        <f t="shared" si="9"/>
        <v>0</v>
      </c>
      <c r="R82" s="3">
        <f t="shared" si="10"/>
        <v>0</v>
      </c>
      <c r="S82" s="3">
        <f t="shared" si="11"/>
        <v>0.9158366157189558</v>
      </c>
      <c r="T82" s="3">
        <f t="shared" si="12"/>
        <v>-8.7917297336357073E-2</v>
      </c>
    </row>
    <row r="83" spans="1:20" x14ac:dyDescent="0.25">
      <c r="A83" s="3">
        <v>65</v>
      </c>
      <c r="B83" s="3">
        <v>0</v>
      </c>
      <c r="C83" s="3">
        <v>4</v>
      </c>
      <c r="D83" s="3">
        <v>150</v>
      </c>
      <c r="E83" s="3">
        <v>225</v>
      </c>
      <c r="F83" s="3">
        <v>0</v>
      </c>
      <c r="G83" s="3">
        <v>2</v>
      </c>
      <c r="H83" s="3">
        <v>114</v>
      </c>
      <c r="I83" s="3">
        <v>0</v>
      </c>
      <c r="J83" s="3">
        <v>1</v>
      </c>
      <c r="K83" s="3">
        <v>2</v>
      </c>
      <c r="L83" s="3">
        <v>3</v>
      </c>
      <c r="M83" s="3">
        <v>7</v>
      </c>
      <c r="N83" s="3">
        <v>1</v>
      </c>
      <c r="O83" s="7">
        <f t="shared" si="7"/>
        <v>5.435968256999999</v>
      </c>
      <c r="P83" s="7">
        <f t="shared" si="8"/>
        <v>0.99566188695191804</v>
      </c>
      <c r="Q83" s="7">
        <f t="shared" si="9"/>
        <v>1</v>
      </c>
      <c r="R83" s="3">
        <f t="shared" si="10"/>
        <v>0</v>
      </c>
      <c r="S83" s="3">
        <f t="shared" si="11"/>
        <v>0.99566188695191804</v>
      </c>
      <c r="T83" s="3">
        <f t="shared" si="12"/>
        <v>-4.347549962648376E-3</v>
      </c>
    </row>
    <row r="84" spans="1:20" x14ac:dyDescent="0.25">
      <c r="A84" s="3">
        <v>51</v>
      </c>
      <c r="B84" s="3">
        <v>1</v>
      </c>
      <c r="C84" s="3">
        <v>3</v>
      </c>
      <c r="D84" s="3">
        <v>110</v>
      </c>
      <c r="E84" s="3">
        <v>175</v>
      </c>
      <c r="F84" s="3">
        <v>0</v>
      </c>
      <c r="G84" s="3">
        <v>0</v>
      </c>
      <c r="H84" s="3">
        <v>123</v>
      </c>
      <c r="I84" s="3">
        <v>0</v>
      </c>
      <c r="J84" s="3">
        <v>0.6</v>
      </c>
      <c r="K84" s="3">
        <v>1</v>
      </c>
      <c r="L84" s="3">
        <v>0</v>
      </c>
      <c r="M84" s="3">
        <v>3</v>
      </c>
      <c r="N84" s="3">
        <v>0</v>
      </c>
      <c r="O84" s="7">
        <f t="shared" si="7"/>
        <v>-2.7345360910000007</v>
      </c>
      <c r="P84" s="7">
        <f t="shared" si="8"/>
        <v>6.0965957896336756E-2</v>
      </c>
      <c r="Q84" s="7">
        <f t="shared" si="9"/>
        <v>0</v>
      </c>
      <c r="R84" s="3">
        <f t="shared" si="10"/>
        <v>0</v>
      </c>
      <c r="S84" s="3">
        <f t="shared" si="11"/>
        <v>0.93903404210366326</v>
      </c>
      <c r="T84" s="3">
        <f t="shared" si="12"/>
        <v>-6.2903546859492621E-2</v>
      </c>
    </row>
    <row r="85" spans="1:20" x14ac:dyDescent="0.25">
      <c r="A85" s="3">
        <v>65</v>
      </c>
      <c r="B85" s="3">
        <v>0</v>
      </c>
      <c r="C85" s="3">
        <v>3</v>
      </c>
      <c r="D85" s="3">
        <v>140</v>
      </c>
      <c r="E85" s="3">
        <v>417</v>
      </c>
      <c r="F85" s="3">
        <v>1</v>
      </c>
      <c r="G85" s="3">
        <v>2</v>
      </c>
      <c r="H85" s="3">
        <v>157</v>
      </c>
      <c r="I85" s="3">
        <v>0</v>
      </c>
      <c r="J85" s="3">
        <v>0.8</v>
      </c>
      <c r="K85" s="3">
        <v>1</v>
      </c>
      <c r="L85" s="3">
        <v>1</v>
      </c>
      <c r="M85" s="3">
        <v>3</v>
      </c>
      <c r="N85" s="3">
        <v>0</v>
      </c>
      <c r="O85" s="7">
        <f t="shared" si="7"/>
        <v>-1.5642687850000012</v>
      </c>
      <c r="P85" s="7">
        <f t="shared" si="8"/>
        <v>0.17303495725921034</v>
      </c>
      <c r="Q85" s="7">
        <f t="shared" si="9"/>
        <v>0</v>
      </c>
      <c r="R85" s="3">
        <f t="shared" si="10"/>
        <v>0</v>
      </c>
      <c r="S85" s="3">
        <f t="shared" si="11"/>
        <v>0.82696504274078964</v>
      </c>
      <c r="T85" s="3">
        <f t="shared" si="12"/>
        <v>-0.18999285481461528</v>
      </c>
    </row>
    <row r="86" spans="1:20" x14ac:dyDescent="0.25">
      <c r="A86" s="3">
        <v>60</v>
      </c>
      <c r="B86" s="3">
        <v>1</v>
      </c>
      <c r="C86" s="3">
        <v>4</v>
      </c>
      <c r="D86" s="3">
        <v>130</v>
      </c>
      <c r="E86" s="3">
        <v>253</v>
      </c>
      <c r="F86" s="3">
        <v>0</v>
      </c>
      <c r="G86" s="3">
        <v>0</v>
      </c>
      <c r="H86" s="3">
        <v>144</v>
      </c>
      <c r="I86" s="3">
        <v>1</v>
      </c>
      <c r="J86" s="3">
        <v>1.4</v>
      </c>
      <c r="K86" s="3">
        <v>1</v>
      </c>
      <c r="L86" s="3">
        <v>1</v>
      </c>
      <c r="M86" s="3">
        <v>7</v>
      </c>
      <c r="N86" s="3">
        <v>1</v>
      </c>
      <c r="O86" s="7">
        <f t="shared" si="7"/>
        <v>1.8981538619999991</v>
      </c>
      <c r="P86" s="7">
        <f t="shared" si="8"/>
        <v>0.86968243653807342</v>
      </c>
      <c r="Q86" s="7">
        <f t="shared" si="9"/>
        <v>1</v>
      </c>
      <c r="R86" s="3">
        <f t="shared" si="10"/>
        <v>0</v>
      </c>
      <c r="S86" s="3">
        <f t="shared" si="11"/>
        <v>0.86968243653807342</v>
      </c>
      <c r="T86" s="3">
        <f t="shared" si="12"/>
        <v>-0.13962714944134996</v>
      </c>
    </row>
    <row r="87" spans="1:20" x14ac:dyDescent="0.25">
      <c r="A87" s="3">
        <v>54</v>
      </c>
      <c r="B87" s="3">
        <v>1</v>
      </c>
      <c r="C87" s="3">
        <v>4</v>
      </c>
      <c r="D87" s="3">
        <v>124</v>
      </c>
      <c r="E87" s="3">
        <v>266</v>
      </c>
      <c r="F87" s="3">
        <v>0</v>
      </c>
      <c r="G87" s="3">
        <v>2</v>
      </c>
      <c r="H87" s="3">
        <v>109</v>
      </c>
      <c r="I87" s="3">
        <v>1</v>
      </c>
      <c r="J87" s="3">
        <v>2.2000000000000002</v>
      </c>
      <c r="K87" s="3">
        <v>2</v>
      </c>
      <c r="L87" s="3">
        <v>1</v>
      </c>
      <c r="M87" s="3">
        <v>7</v>
      </c>
      <c r="N87" s="3">
        <v>1</v>
      </c>
      <c r="O87" s="7">
        <f t="shared" si="7"/>
        <v>4.0654833880000005</v>
      </c>
      <c r="P87" s="7">
        <f t="shared" si="8"/>
        <v>0.98313462545913854</v>
      </c>
      <c r="Q87" s="7">
        <f t="shared" si="9"/>
        <v>1</v>
      </c>
      <c r="R87" s="3">
        <f t="shared" si="10"/>
        <v>0</v>
      </c>
      <c r="S87" s="3">
        <f t="shared" si="11"/>
        <v>0.98313462545913854</v>
      </c>
      <c r="T87" s="3">
        <f t="shared" si="12"/>
        <v>-1.7009214540713437E-2</v>
      </c>
    </row>
    <row r="88" spans="1:20" x14ac:dyDescent="0.25">
      <c r="A88" s="3">
        <v>50</v>
      </c>
      <c r="B88" s="3">
        <v>1</v>
      </c>
      <c r="C88" s="3">
        <v>3</v>
      </c>
      <c r="D88" s="3">
        <v>140</v>
      </c>
      <c r="E88" s="3">
        <v>233</v>
      </c>
      <c r="F88" s="3">
        <v>0</v>
      </c>
      <c r="G88" s="3">
        <v>0</v>
      </c>
      <c r="H88" s="3">
        <v>163</v>
      </c>
      <c r="I88" s="3">
        <v>0</v>
      </c>
      <c r="J88" s="3">
        <v>0.6</v>
      </c>
      <c r="K88" s="3">
        <v>2</v>
      </c>
      <c r="L88" s="3">
        <v>1</v>
      </c>
      <c r="M88" s="3">
        <v>7</v>
      </c>
      <c r="N88" s="3">
        <v>1</v>
      </c>
      <c r="O88" s="7">
        <f t="shared" si="7"/>
        <v>0.98077528199999975</v>
      </c>
      <c r="P88" s="7">
        <f t="shared" si="8"/>
        <v>0.72726202214735791</v>
      </c>
      <c r="Q88" s="7">
        <f t="shared" si="9"/>
        <v>1</v>
      </c>
      <c r="R88" s="3">
        <f t="shared" si="10"/>
        <v>0</v>
      </c>
      <c r="S88" s="3">
        <f t="shared" si="11"/>
        <v>0.72726202214735791</v>
      </c>
      <c r="T88" s="3">
        <f t="shared" si="12"/>
        <v>-0.31846845077425107</v>
      </c>
    </row>
    <row r="89" spans="1:20" x14ac:dyDescent="0.25">
      <c r="A89" s="3">
        <v>54</v>
      </c>
      <c r="B89" s="3">
        <v>1</v>
      </c>
      <c r="C89" s="3">
        <v>3</v>
      </c>
      <c r="D89" s="3">
        <v>125</v>
      </c>
      <c r="E89" s="3">
        <v>273</v>
      </c>
      <c r="F89" s="3">
        <v>0</v>
      </c>
      <c r="G89" s="3">
        <v>2</v>
      </c>
      <c r="H89" s="3">
        <v>152</v>
      </c>
      <c r="I89" s="3">
        <v>0</v>
      </c>
      <c r="J89" s="3">
        <v>0.5</v>
      </c>
      <c r="K89" s="3">
        <v>3</v>
      </c>
      <c r="L89" s="3">
        <v>1</v>
      </c>
      <c r="M89" s="3">
        <v>3</v>
      </c>
      <c r="N89" s="3">
        <v>0</v>
      </c>
      <c r="O89" s="7">
        <f t="shared" si="7"/>
        <v>0.90264680149999954</v>
      </c>
      <c r="P89" s="7">
        <f t="shared" si="8"/>
        <v>0.71149311730675247</v>
      </c>
      <c r="Q89" s="7">
        <f t="shared" si="9"/>
        <v>1</v>
      </c>
      <c r="R89" s="3">
        <f t="shared" si="10"/>
        <v>1</v>
      </c>
      <c r="S89" s="3">
        <f t="shared" si="11"/>
        <v>0.28850688269324753</v>
      </c>
      <c r="T89" s="3">
        <f t="shared" si="12"/>
        <v>-1.2430363364962038</v>
      </c>
    </row>
    <row r="90" spans="1:20" x14ac:dyDescent="0.25">
      <c r="A90" s="3">
        <v>60</v>
      </c>
      <c r="B90" s="3">
        <v>1</v>
      </c>
      <c r="C90" s="3">
        <v>3</v>
      </c>
      <c r="D90" s="3">
        <v>140</v>
      </c>
      <c r="E90" s="3">
        <v>185</v>
      </c>
      <c r="F90" s="3">
        <v>0</v>
      </c>
      <c r="G90" s="3">
        <v>2</v>
      </c>
      <c r="H90" s="3">
        <v>155</v>
      </c>
      <c r="I90" s="3">
        <v>0</v>
      </c>
      <c r="J90" s="3">
        <v>3</v>
      </c>
      <c r="K90" s="3">
        <v>2</v>
      </c>
      <c r="L90" s="3">
        <v>0</v>
      </c>
      <c r="M90" s="3">
        <v>3</v>
      </c>
      <c r="N90" s="3">
        <v>1</v>
      </c>
      <c r="O90" s="7">
        <f t="shared" si="7"/>
        <v>-0.67434649299999982</v>
      </c>
      <c r="P90" s="7">
        <f t="shared" si="8"/>
        <v>0.33752427254656725</v>
      </c>
      <c r="Q90" s="7">
        <f t="shared" si="9"/>
        <v>0</v>
      </c>
      <c r="R90" s="3">
        <f t="shared" si="10"/>
        <v>1</v>
      </c>
      <c r="S90" s="3">
        <f t="shared" si="11"/>
        <v>0.33752427254656725</v>
      </c>
      <c r="T90" s="3">
        <f t="shared" si="12"/>
        <v>-1.0861178525990796</v>
      </c>
    </row>
    <row r="91" spans="1:20" x14ac:dyDescent="0.25">
      <c r="A91" s="3">
        <v>54</v>
      </c>
      <c r="B91" s="3">
        <v>1</v>
      </c>
      <c r="C91" s="3">
        <v>3</v>
      </c>
      <c r="D91" s="3">
        <v>150</v>
      </c>
      <c r="E91" s="3">
        <v>232</v>
      </c>
      <c r="F91" s="3">
        <v>0</v>
      </c>
      <c r="G91" s="3">
        <v>2</v>
      </c>
      <c r="H91" s="3">
        <v>165</v>
      </c>
      <c r="I91" s="3">
        <v>0</v>
      </c>
      <c r="J91" s="3">
        <v>1.6</v>
      </c>
      <c r="K91" s="3">
        <v>1</v>
      </c>
      <c r="L91" s="3">
        <v>0</v>
      </c>
      <c r="M91" s="3">
        <v>7</v>
      </c>
      <c r="N91" s="3">
        <v>0</v>
      </c>
      <c r="O91" s="7">
        <f t="shared" si="7"/>
        <v>-0.35624682800000151</v>
      </c>
      <c r="P91" s="7">
        <f t="shared" si="8"/>
        <v>0.41186840570013777</v>
      </c>
      <c r="Q91" s="7">
        <f t="shared" si="9"/>
        <v>0</v>
      </c>
      <c r="R91" s="3">
        <f t="shared" si="10"/>
        <v>0</v>
      </c>
      <c r="S91" s="3">
        <f t="shared" si="11"/>
        <v>0.58813159429986217</v>
      </c>
      <c r="T91" s="3">
        <f t="shared" si="12"/>
        <v>-0.53080455629325862</v>
      </c>
    </row>
    <row r="92" spans="1:20" x14ac:dyDescent="0.25">
      <c r="A92" s="3">
        <v>51</v>
      </c>
      <c r="B92" s="3">
        <v>0</v>
      </c>
      <c r="C92" s="3">
        <v>3</v>
      </c>
      <c r="D92" s="3">
        <v>140</v>
      </c>
      <c r="E92" s="3">
        <v>308</v>
      </c>
      <c r="F92" s="3">
        <v>0</v>
      </c>
      <c r="G92" s="3">
        <v>2</v>
      </c>
      <c r="H92" s="3">
        <v>142</v>
      </c>
      <c r="I92" s="3">
        <v>0</v>
      </c>
      <c r="J92" s="3">
        <v>1.5</v>
      </c>
      <c r="K92" s="3">
        <v>1</v>
      </c>
      <c r="L92" s="3">
        <v>1</v>
      </c>
      <c r="M92" s="3">
        <v>3</v>
      </c>
      <c r="N92" s="3">
        <v>0</v>
      </c>
      <c r="O92" s="7">
        <f t="shared" si="7"/>
        <v>-0.70196654250000101</v>
      </c>
      <c r="P92" s="7">
        <f t="shared" si="8"/>
        <v>0.3313763643453248</v>
      </c>
      <c r="Q92" s="7">
        <f t="shared" si="9"/>
        <v>0</v>
      </c>
      <c r="R92" s="3">
        <f t="shared" si="10"/>
        <v>0</v>
      </c>
      <c r="S92" s="3">
        <f t="shared" si="11"/>
        <v>0.6686236356546752</v>
      </c>
      <c r="T92" s="3">
        <f t="shared" si="12"/>
        <v>-0.40253395465675285</v>
      </c>
    </row>
    <row r="93" spans="1:20" x14ac:dyDescent="0.25">
      <c r="A93" s="3">
        <v>48</v>
      </c>
      <c r="B93" s="3">
        <v>1</v>
      </c>
      <c r="C93" s="3">
        <v>2</v>
      </c>
      <c r="D93" s="3">
        <v>130</v>
      </c>
      <c r="E93" s="3">
        <v>245</v>
      </c>
      <c r="F93" s="3">
        <v>0</v>
      </c>
      <c r="G93" s="3">
        <v>2</v>
      </c>
      <c r="H93" s="3">
        <v>180</v>
      </c>
      <c r="I93" s="3">
        <v>0</v>
      </c>
      <c r="J93" s="3">
        <v>0.2</v>
      </c>
      <c r="K93" s="3">
        <v>2</v>
      </c>
      <c r="L93" s="3">
        <v>0</v>
      </c>
      <c r="M93" s="3">
        <v>3</v>
      </c>
      <c r="N93" s="3">
        <v>0</v>
      </c>
      <c r="O93" s="7">
        <f t="shared" si="7"/>
        <v>-2.6980796440000017</v>
      </c>
      <c r="P93" s="7">
        <f t="shared" si="8"/>
        <v>6.3086767016636305E-2</v>
      </c>
      <c r="Q93" s="7">
        <f t="shared" si="9"/>
        <v>0</v>
      </c>
      <c r="R93" s="3">
        <f t="shared" si="10"/>
        <v>0</v>
      </c>
      <c r="S93" s="3">
        <f t="shared" si="11"/>
        <v>0.93691323298336371</v>
      </c>
      <c r="T93" s="3">
        <f t="shared" si="12"/>
        <v>-6.5164601902983801E-2</v>
      </c>
    </row>
    <row r="94" spans="1:20" x14ac:dyDescent="0.25">
      <c r="A94" s="3">
        <v>39</v>
      </c>
      <c r="B94" s="3">
        <v>1</v>
      </c>
      <c r="C94" s="3">
        <v>3</v>
      </c>
      <c r="D94" s="3">
        <v>140</v>
      </c>
      <c r="E94" s="3">
        <v>321</v>
      </c>
      <c r="F94" s="3">
        <v>0</v>
      </c>
      <c r="G94" s="3">
        <v>2</v>
      </c>
      <c r="H94" s="3">
        <v>182</v>
      </c>
      <c r="I94" s="3">
        <v>0</v>
      </c>
      <c r="J94" s="3">
        <v>0</v>
      </c>
      <c r="K94" s="3">
        <v>1</v>
      </c>
      <c r="L94" s="3">
        <v>0</v>
      </c>
      <c r="M94" s="3">
        <v>3</v>
      </c>
      <c r="N94" s="3">
        <v>0</v>
      </c>
      <c r="O94" s="7">
        <f t="shared" si="7"/>
        <v>-2.2127474059999992</v>
      </c>
      <c r="P94" s="7">
        <f t="shared" si="8"/>
        <v>9.8611594093929597E-2</v>
      </c>
      <c r="Q94" s="7">
        <f t="shared" si="9"/>
        <v>0</v>
      </c>
      <c r="R94" s="3">
        <f t="shared" si="10"/>
        <v>0</v>
      </c>
      <c r="S94" s="3">
        <f t="shared" si="11"/>
        <v>0.90138840590607039</v>
      </c>
      <c r="T94" s="3">
        <f t="shared" si="12"/>
        <v>-0.10381903112684687</v>
      </c>
    </row>
    <row r="95" spans="1:20" x14ac:dyDescent="0.25">
      <c r="A95" s="3">
        <v>52</v>
      </c>
      <c r="B95" s="3">
        <v>1</v>
      </c>
      <c r="C95" s="3">
        <v>2</v>
      </c>
      <c r="D95" s="3">
        <v>120</v>
      </c>
      <c r="E95" s="3">
        <v>325</v>
      </c>
      <c r="F95" s="3">
        <v>0</v>
      </c>
      <c r="G95" s="3">
        <v>0</v>
      </c>
      <c r="H95" s="3">
        <v>172</v>
      </c>
      <c r="I95" s="3">
        <v>0</v>
      </c>
      <c r="J95" s="3">
        <v>0.2</v>
      </c>
      <c r="K95" s="3">
        <v>1</v>
      </c>
      <c r="L95" s="3">
        <v>0</v>
      </c>
      <c r="M95" s="3">
        <v>3</v>
      </c>
      <c r="N95" s="3">
        <v>0</v>
      </c>
      <c r="O95" s="7">
        <f t="shared" si="7"/>
        <v>-4.0227535330000013</v>
      </c>
      <c r="P95" s="7">
        <f t="shared" si="8"/>
        <v>1.7588697863921626E-2</v>
      </c>
      <c r="Q95" s="7">
        <f t="shared" si="9"/>
        <v>0</v>
      </c>
      <c r="R95" s="3">
        <f t="shared" si="10"/>
        <v>0</v>
      </c>
      <c r="S95" s="3">
        <f t="shared" si="11"/>
        <v>0.98241130213607841</v>
      </c>
      <c r="T95" s="3">
        <f t="shared" si="12"/>
        <v>-1.7745217038092977E-2</v>
      </c>
    </row>
    <row r="96" spans="1:20" x14ac:dyDescent="0.25">
      <c r="A96" s="3">
        <v>44</v>
      </c>
      <c r="B96" s="3">
        <v>1</v>
      </c>
      <c r="C96" s="3">
        <v>3</v>
      </c>
      <c r="D96" s="3">
        <v>140</v>
      </c>
      <c r="E96" s="3">
        <v>235</v>
      </c>
      <c r="F96" s="3">
        <v>0</v>
      </c>
      <c r="G96" s="3">
        <v>2</v>
      </c>
      <c r="H96" s="3">
        <v>180</v>
      </c>
      <c r="I96" s="3">
        <v>0</v>
      </c>
      <c r="J96" s="3">
        <v>0</v>
      </c>
      <c r="K96" s="3">
        <v>1</v>
      </c>
      <c r="L96" s="3">
        <v>0</v>
      </c>
      <c r="M96" s="3">
        <v>3</v>
      </c>
      <c r="N96" s="3">
        <v>0</v>
      </c>
      <c r="O96" s="7">
        <f t="shared" si="7"/>
        <v>-2.4380660330000001</v>
      </c>
      <c r="P96" s="7">
        <f t="shared" si="8"/>
        <v>8.0315648835532744E-2</v>
      </c>
      <c r="Q96" s="7">
        <f t="shared" si="9"/>
        <v>0</v>
      </c>
      <c r="R96" s="3">
        <f t="shared" si="10"/>
        <v>0</v>
      </c>
      <c r="S96" s="3">
        <f t="shared" si="11"/>
        <v>0.91968435116446723</v>
      </c>
      <c r="T96" s="3">
        <f t="shared" si="12"/>
        <v>-8.3724764370503663E-2</v>
      </c>
    </row>
    <row r="97" spans="1:20" x14ac:dyDescent="0.25">
      <c r="A97" s="3">
        <v>59</v>
      </c>
      <c r="B97" s="3">
        <v>1</v>
      </c>
      <c r="C97" s="3">
        <v>4</v>
      </c>
      <c r="D97" s="3">
        <v>110</v>
      </c>
      <c r="E97" s="3">
        <v>239</v>
      </c>
      <c r="F97" s="3">
        <v>0</v>
      </c>
      <c r="G97" s="3">
        <v>2</v>
      </c>
      <c r="H97" s="3">
        <v>142</v>
      </c>
      <c r="I97" s="3">
        <v>1</v>
      </c>
      <c r="J97" s="3">
        <v>1.2</v>
      </c>
      <c r="K97" s="3">
        <v>2</v>
      </c>
      <c r="L97" s="3">
        <v>1</v>
      </c>
      <c r="M97" s="3">
        <v>7</v>
      </c>
      <c r="N97" s="3">
        <v>1</v>
      </c>
      <c r="O97" s="7">
        <f t="shared" si="7"/>
        <v>2.5887273509999993</v>
      </c>
      <c r="P97" s="7">
        <f t="shared" si="8"/>
        <v>0.93013255803713879</v>
      </c>
      <c r="Q97" s="7">
        <f t="shared" si="9"/>
        <v>1</v>
      </c>
      <c r="R97" s="3">
        <f t="shared" si="10"/>
        <v>0</v>
      </c>
      <c r="S97" s="3">
        <f t="shared" si="11"/>
        <v>0.93013255803713879</v>
      </c>
      <c r="T97" s="3">
        <f t="shared" si="12"/>
        <v>-7.2428167468252883E-2</v>
      </c>
    </row>
    <row r="98" spans="1:20" x14ac:dyDescent="0.25">
      <c r="A98" s="3">
        <v>52</v>
      </c>
      <c r="B98" s="3">
        <v>1</v>
      </c>
      <c r="C98" s="3">
        <v>2</v>
      </c>
      <c r="D98" s="3">
        <v>134</v>
      </c>
      <c r="E98" s="3">
        <v>201</v>
      </c>
      <c r="F98" s="3">
        <v>0</v>
      </c>
      <c r="G98" s="3">
        <v>0</v>
      </c>
      <c r="H98" s="3">
        <v>158</v>
      </c>
      <c r="I98" s="3">
        <v>0</v>
      </c>
      <c r="J98" s="3">
        <v>0.8</v>
      </c>
      <c r="K98" s="3">
        <v>1</v>
      </c>
      <c r="L98" s="3">
        <v>1</v>
      </c>
      <c r="M98" s="3">
        <v>3</v>
      </c>
      <c r="N98" s="3">
        <v>0</v>
      </c>
      <c r="O98" s="7">
        <f t="shared" si="7"/>
        <v>-2.058602113000001</v>
      </c>
      <c r="P98" s="7">
        <f t="shared" si="8"/>
        <v>0.11318606710147827</v>
      </c>
      <c r="Q98" s="7">
        <f t="shared" si="9"/>
        <v>0</v>
      </c>
      <c r="R98" s="3">
        <f t="shared" si="10"/>
        <v>0</v>
      </c>
      <c r="S98" s="3">
        <f t="shared" si="11"/>
        <v>0.88681393289852173</v>
      </c>
      <c r="T98" s="3">
        <f t="shared" si="12"/>
        <v>-0.12012008993070011</v>
      </c>
    </row>
    <row r="99" spans="1:20" x14ac:dyDescent="0.25">
      <c r="A99" s="3">
        <v>71</v>
      </c>
      <c r="B99" s="3">
        <v>0</v>
      </c>
      <c r="C99" s="3">
        <v>3</v>
      </c>
      <c r="D99" s="3">
        <v>110</v>
      </c>
      <c r="E99" s="3">
        <v>265</v>
      </c>
      <c r="F99" s="3">
        <v>1</v>
      </c>
      <c r="G99" s="3">
        <v>2</v>
      </c>
      <c r="H99" s="3">
        <v>130</v>
      </c>
      <c r="I99" s="3">
        <v>0</v>
      </c>
      <c r="J99" s="3">
        <v>0</v>
      </c>
      <c r="K99" s="3">
        <v>1</v>
      </c>
      <c r="L99" s="3">
        <v>1</v>
      </c>
      <c r="M99" s="3">
        <v>3</v>
      </c>
      <c r="N99" s="3">
        <v>0</v>
      </c>
      <c r="O99" s="7">
        <f t="shared" si="7"/>
        <v>-2.5469160570000025</v>
      </c>
      <c r="P99" s="7">
        <f t="shared" si="8"/>
        <v>7.2633940784532378E-2</v>
      </c>
      <c r="Q99" s="7">
        <f t="shared" si="9"/>
        <v>0</v>
      </c>
      <c r="R99" s="3">
        <f t="shared" si="10"/>
        <v>0</v>
      </c>
      <c r="S99" s="3">
        <f t="shared" si="11"/>
        <v>0.92736605921546766</v>
      </c>
      <c r="T99" s="3">
        <f t="shared" si="12"/>
        <v>-7.540690547811521E-2</v>
      </c>
    </row>
    <row r="100" spans="1:20" x14ac:dyDescent="0.25">
      <c r="A100" s="3">
        <v>59</v>
      </c>
      <c r="B100" s="3">
        <v>1</v>
      </c>
      <c r="C100" s="3">
        <v>4</v>
      </c>
      <c r="D100" s="3">
        <v>140</v>
      </c>
      <c r="E100" s="3">
        <v>177</v>
      </c>
      <c r="F100" s="3">
        <v>0</v>
      </c>
      <c r="G100" s="3">
        <v>0</v>
      </c>
      <c r="H100" s="3">
        <v>162</v>
      </c>
      <c r="I100" s="3">
        <v>1</v>
      </c>
      <c r="J100" s="3">
        <v>0</v>
      </c>
      <c r="K100" s="3">
        <v>1</v>
      </c>
      <c r="L100" s="3">
        <v>1</v>
      </c>
      <c r="M100" s="3">
        <v>7</v>
      </c>
      <c r="N100" s="3">
        <v>1</v>
      </c>
      <c r="O100" s="7">
        <f t="shared" si="7"/>
        <v>1.3347131139999995</v>
      </c>
      <c r="P100" s="7">
        <f t="shared" si="8"/>
        <v>0.79161917047385089</v>
      </c>
      <c r="Q100" s="7">
        <f t="shared" si="9"/>
        <v>1</v>
      </c>
      <c r="R100" s="3">
        <f t="shared" si="10"/>
        <v>0</v>
      </c>
      <c r="S100" s="3">
        <f t="shared" si="11"/>
        <v>0.79161917047385089</v>
      </c>
      <c r="T100" s="3">
        <f t="shared" si="12"/>
        <v>-0.23367484817221382</v>
      </c>
    </row>
    <row r="101" spans="1:20" x14ac:dyDescent="0.25">
      <c r="A101" s="3">
        <v>57</v>
      </c>
      <c r="B101" s="3">
        <v>1</v>
      </c>
      <c r="C101" s="3">
        <v>3</v>
      </c>
      <c r="D101" s="3">
        <v>128</v>
      </c>
      <c r="E101" s="3">
        <v>229</v>
      </c>
      <c r="F101" s="3">
        <v>0</v>
      </c>
      <c r="G101" s="3">
        <v>2</v>
      </c>
      <c r="H101" s="3">
        <v>150</v>
      </c>
      <c r="I101" s="3">
        <v>0</v>
      </c>
      <c r="J101" s="3">
        <v>0.4</v>
      </c>
      <c r="K101" s="3">
        <v>2</v>
      </c>
      <c r="L101" s="3">
        <v>1</v>
      </c>
      <c r="M101" s="3">
        <v>7</v>
      </c>
      <c r="N101" s="3">
        <v>1</v>
      </c>
      <c r="O101" s="7">
        <f t="shared" si="7"/>
        <v>1.2278876679999993</v>
      </c>
      <c r="P101" s="7">
        <f t="shared" si="8"/>
        <v>0.77344865294204823</v>
      </c>
      <c r="Q101" s="7">
        <f t="shared" si="9"/>
        <v>1</v>
      </c>
      <c r="R101" s="3">
        <f t="shared" si="10"/>
        <v>0</v>
      </c>
      <c r="S101" s="3">
        <f t="shared" si="11"/>
        <v>0.77344865294204823</v>
      </c>
      <c r="T101" s="3">
        <f t="shared" si="12"/>
        <v>-0.25689599392351742</v>
      </c>
    </row>
    <row r="102" spans="1:20" x14ac:dyDescent="0.25">
      <c r="A102" s="3">
        <v>56</v>
      </c>
      <c r="B102" s="3">
        <v>1</v>
      </c>
      <c r="C102" s="3">
        <v>4</v>
      </c>
      <c r="D102" s="3">
        <v>125</v>
      </c>
      <c r="E102" s="3">
        <v>249</v>
      </c>
      <c r="F102" s="3">
        <v>1</v>
      </c>
      <c r="G102" s="3">
        <v>2</v>
      </c>
      <c r="H102" s="3">
        <v>144</v>
      </c>
      <c r="I102" s="3">
        <v>1</v>
      </c>
      <c r="J102" s="3">
        <v>1.2</v>
      </c>
      <c r="K102" s="3">
        <v>2</v>
      </c>
      <c r="L102" s="3">
        <v>1</v>
      </c>
      <c r="M102" s="3">
        <v>3</v>
      </c>
      <c r="N102" s="3">
        <v>1</v>
      </c>
      <c r="O102" s="7">
        <f t="shared" si="7"/>
        <v>1.3570174409999982</v>
      </c>
      <c r="P102" s="7">
        <f t="shared" si="8"/>
        <v>0.79527452611148342</v>
      </c>
      <c r="Q102" s="7">
        <f t="shared" si="9"/>
        <v>1</v>
      </c>
      <c r="R102" s="3">
        <f t="shared" si="10"/>
        <v>0</v>
      </c>
      <c r="S102" s="3">
        <f t="shared" si="11"/>
        <v>0.79527452611148342</v>
      </c>
      <c r="T102" s="3">
        <f t="shared" si="12"/>
        <v>-0.22906790807210484</v>
      </c>
    </row>
    <row r="103" spans="1:20" x14ac:dyDescent="0.25">
      <c r="A103" s="3">
        <v>58</v>
      </c>
      <c r="B103" s="3">
        <v>1</v>
      </c>
      <c r="C103" s="3">
        <v>3</v>
      </c>
      <c r="D103" s="3">
        <v>140</v>
      </c>
      <c r="E103" s="3">
        <v>211</v>
      </c>
      <c r="F103" s="3">
        <v>1</v>
      </c>
      <c r="G103" s="3">
        <v>2</v>
      </c>
      <c r="H103" s="3">
        <v>165</v>
      </c>
      <c r="I103" s="3">
        <v>0</v>
      </c>
      <c r="J103" s="3">
        <v>0</v>
      </c>
      <c r="K103" s="3">
        <v>1</v>
      </c>
      <c r="L103" s="3">
        <v>0</v>
      </c>
      <c r="M103" s="3">
        <v>3</v>
      </c>
      <c r="N103" s="3">
        <v>0</v>
      </c>
      <c r="O103" s="7">
        <f t="shared" si="7"/>
        <v>-2.8372960940000009</v>
      </c>
      <c r="P103" s="7">
        <f t="shared" si="8"/>
        <v>5.534172549784637E-2</v>
      </c>
      <c r="Q103" s="7">
        <f t="shared" si="9"/>
        <v>0</v>
      </c>
      <c r="R103" s="3">
        <f t="shared" si="10"/>
        <v>0</v>
      </c>
      <c r="S103" s="3">
        <f t="shared" si="11"/>
        <v>0.94465827450215367</v>
      </c>
      <c r="T103" s="3">
        <f t="shared" si="12"/>
        <v>-5.6932031170040982E-2</v>
      </c>
    </row>
    <row r="104" spans="1:20" x14ac:dyDescent="0.25">
      <c r="A104" s="3">
        <v>51</v>
      </c>
      <c r="B104" s="3">
        <v>1</v>
      </c>
      <c r="C104" s="3">
        <v>3</v>
      </c>
      <c r="D104" s="3">
        <v>100</v>
      </c>
      <c r="E104" s="3">
        <v>222</v>
      </c>
      <c r="F104" s="3">
        <v>0</v>
      </c>
      <c r="G104" s="3">
        <v>0</v>
      </c>
      <c r="H104" s="3">
        <v>143</v>
      </c>
      <c r="I104" s="3">
        <v>1</v>
      </c>
      <c r="J104" s="3">
        <v>1.2</v>
      </c>
      <c r="K104" s="3">
        <v>2</v>
      </c>
      <c r="L104" s="3">
        <v>0</v>
      </c>
      <c r="M104" s="3">
        <v>3</v>
      </c>
      <c r="N104" s="3">
        <v>0</v>
      </c>
      <c r="O104" s="7">
        <f t="shared" si="7"/>
        <v>-1.6235124640000018</v>
      </c>
      <c r="P104" s="7">
        <f t="shared" si="8"/>
        <v>0.16472102795354643</v>
      </c>
      <c r="Q104" s="7">
        <f t="shared" si="9"/>
        <v>0</v>
      </c>
      <c r="R104" s="3">
        <f t="shared" si="10"/>
        <v>0</v>
      </c>
      <c r="S104" s="3">
        <f t="shared" si="11"/>
        <v>0.83527897204645352</v>
      </c>
      <c r="T104" s="3">
        <f t="shared" si="12"/>
        <v>-0.17998951167045146</v>
      </c>
    </row>
    <row r="105" spans="1:20" x14ac:dyDescent="0.25">
      <c r="A105" s="3">
        <v>55</v>
      </c>
      <c r="B105" s="3">
        <v>1</v>
      </c>
      <c r="C105" s="3">
        <v>4</v>
      </c>
      <c r="D105" s="3">
        <v>140</v>
      </c>
      <c r="E105" s="3">
        <v>217</v>
      </c>
      <c r="F105" s="3">
        <v>0</v>
      </c>
      <c r="G105" s="3">
        <v>0</v>
      </c>
      <c r="H105" s="3">
        <v>111</v>
      </c>
      <c r="I105" s="3">
        <v>1</v>
      </c>
      <c r="J105" s="3">
        <v>5.6</v>
      </c>
      <c r="K105" s="3">
        <v>3</v>
      </c>
      <c r="L105" s="3">
        <v>0</v>
      </c>
      <c r="M105" s="3">
        <v>7</v>
      </c>
      <c r="N105" s="3">
        <v>1</v>
      </c>
      <c r="O105" s="7">
        <f t="shared" si="7"/>
        <v>4.1335185669999994</v>
      </c>
      <c r="P105" s="7">
        <f t="shared" si="8"/>
        <v>0.98422640421624608</v>
      </c>
      <c r="Q105" s="7">
        <f t="shared" si="9"/>
        <v>1</v>
      </c>
      <c r="R105" s="3">
        <f t="shared" si="10"/>
        <v>0</v>
      </c>
      <c r="S105" s="3">
        <f t="shared" si="11"/>
        <v>0.98422640421624608</v>
      </c>
      <c r="T105" s="3">
        <f t="shared" si="12"/>
        <v>-1.5899322809896557E-2</v>
      </c>
    </row>
    <row r="106" spans="1:20" x14ac:dyDescent="0.25">
      <c r="A106" s="3">
        <v>56</v>
      </c>
      <c r="B106" s="3">
        <v>0</v>
      </c>
      <c r="C106" s="3">
        <v>4</v>
      </c>
      <c r="D106" s="3">
        <v>200</v>
      </c>
      <c r="E106" s="3">
        <v>288</v>
      </c>
      <c r="F106" s="3">
        <v>1</v>
      </c>
      <c r="G106" s="3">
        <v>2</v>
      </c>
      <c r="H106" s="3">
        <v>133</v>
      </c>
      <c r="I106" s="3">
        <v>1</v>
      </c>
      <c r="J106" s="3">
        <v>4</v>
      </c>
      <c r="K106" s="3">
        <v>3</v>
      </c>
      <c r="L106" s="3">
        <v>2</v>
      </c>
      <c r="M106" s="3">
        <v>7</v>
      </c>
      <c r="N106" s="3">
        <v>1</v>
      </c>
      <c r="O106" s="7">
        <f t="shared" si="7"/>
        <v>7.2046320030000004</v>
      </c>
      <c r="P106" s="7">
        <f t="shared" si="8"/>
        <v>0.99925741622296516</v>
      </c>
      <c r="Q106" s="7">
        <f t="shared" si="9"/>
        <v>1</v>
      </c>
      <c r="R106" s="3">
        <f t="shared" si="10"/>
        <v>0</v>
      </c>
      <c r="S106" s="3">
        <f t="shared" si="11"/>
        <v>0.99925741622296516</v>
      </c>
      <c r="T106" s="3">
        <f t="shared" si="12"/>
        <v>-7.4285962893835497E-4</v>
      </c>
    </row>
    <row r="107" spans="1:20" x14ac:dyDescent="0.25">
      <c r="A107" s="3">
        <v>54</v>
      </c>
      <c r="B107" s="3">
        <v>1</v>
      </c>
      <c r="C107" s="3">
        <v>4</v>
      </c>
      <c r="D107" s="3">
        <v>110</v>
      </c>
      <c r="E107" s="3">
        <v>239</v>
      </c>
      <c r="F107" s="3">
        <v>0</v>
      </c>
      <c r="G107" s="3">
        <v>0</v>
      </c>
      <c r="H107" s="3">
        <v>126</v>
      </c>
      <c r="I107" s="3">
        <v>1</v>
      </c>
      <c r="J107" s="3">
        <v>2.8</v>
      </c>
      <c r="K107" s="3">
        <v>2</v>
      </c>
      <c r="L107" s="3">
        <v>1</v>
      </c>
      <c r="M107" s="3">
        <v>7</v>
      </c>
      <c r="N107" s="3">
        <v>1</v>
      </c>
      <c r="O107" s="7">
        <f t="shared" si="7"/>
        <v>2.8666429900000008</v>
      </c>
      <c r="P107" s="7">
        <f t="shared" si="8"/>
        <v>0.94617263139127816</v>
      </c>
      <c r="Q107" s="7">
        <f t="shared" si="9"/>
        <v>1</v>
      </c>
      <c r="R107" s="3">
        <f t="shared" si="10"/>
        <v>0</v>
      </c>
      <c r="S107" s="3">
        <f t="shared" si="11"/>
        <v>0.94617263139127816</v>
      </c>
      <c r="T107" s="3">
        <f t="shared" si="12"/>
        <v>-5.5330240964274198E-2</v>
      </c>
    </row>
    <row r="108" spans="1:20" x14ac:dyDescent="0.25">
      <c r="A108" s="3">
        <v>62</v>
      </c>
      <c r="B108" s="3">
        <v>1</v>
      </c>
      <c r="C108" s="3">
        <v>2</v>
      </c>
      <c r="D108" s="3">
        <v>120</v>
      </c>
      <c r="E108" s="3">
        <v>281</v>
      </c>
      <c r="F108" s="3">
        <v>0</v>
      </c>
      <c r="G108" s="3">
        <v>2</v>
      </c>
      <c r="H108" s="3">
        <v>103</v>
      </c>
      <c r="I108" s="3">
        <v>0</v>
      </c>
      <c r="J108" s="3">
        <v>1.4</v>
      </c>
      <c r="K108" s="3">
        <v>2</v>
      </c>
      <c r="L108" s="3">
        <v>1</v>
      </c>
      <c r="M108" s="3">
        <v>7</v>
      </c>
      <c r="N108" s="3">
        <v>1</v>
      </c>
      <c r="O108" s="7">
        <f t="shared" si="7"/>
        <v>1.4349141969999994</v>
      </c>
      <c r="P108" s="7">
        <f t="shared" si="8"/>
        <v>0.807665849988629</v>
      </c>
      <c r="Q108" s="7">
        <f t="shared" si="9"/>
        <v>1</v>
      </c>
      <c r="R108" s="3">
        <f t="shared" si="10"/>
        <v>0</v>
      </c>
      <c r="S108" s="3">
        <f t="shared" si="11"/>
        <v>0.807665849988629</v>
      </c>
      <c r="T108" s="3">
        <f t="shared" si="12"/>
        <v>-0.21360685799152196</v>
      </c>
    </row>
    <row r="109" spans="1:20" x14ac:dyDescent="0.25">
      <c r="A109" s="3">
        <v>58</v>
      </c>
      <c r="B109" s="3">
        <v>1</v>
      </c>
      <c r="C109" s="3">
        <v>3</v>
      </c>
      <c r="D109" s="3">
        <v>105</v>
      </c>
      <c r="E109" s="3">
        <v>240</v>
      </c>
      <c r="F109" s="3">
        <v>0</v>
      </c>
      <c r="G109" s="3">
        <v>2</v>
      </c>
      <c r="H109" s="3">
        <v>154</v>
      </c>
      <c r="I109" s="3">
        <v>1</v>
      </c>
      <c r="J109" s="3">
        <v>0.6</v>
      </c>
      <c r="K109" s="3">
        <v>2</v>
      </c>
      <c r="L109" s="3">
        <v>0</v>
      </c>
      <c r="M109" s="3">
        <v>7</v>
      </c>
      <c r="N109" s="3">
        <v>0</v>
      </c>
      <c r="O109" s="7">
        <f t="shared" si="7"/>
        <v>-0.17998102400000171</v>
      </c>
      <c r="P109" s="7">
        <f t="shared" si="8"/>
        <v>0.45512581341058106</v>
      </c>
      <c r="Q109" s="7">
        <f t="shared" si="9"/>
        <v>0</v>
      </c>
      <c r="R109" s="3">
        <f t="shared" si="10"/>
        <v>0</v>
      </c>
      <c r="S109" s="3">
        <f t="shared" si="11"/>
        <v>0.54487418658941889</v>
      </c>
      <c r="T109" s="3">
        <f t="shared" si="12"/>
        <v>-0.60720036126356802</v>
      </c>
    </row>
    <row r="110" spans="1:20" x14ac:dyDescent="0.25">
      <c r="A110" s="3">
        <v>45</v>
      </c>
      <c r="B110" s="3">
        <v>1</v>
      </c>
      <c r="C110" s="3">
        <v>2</v>
      </c>
      <c r="D110" s="3">
        <v>128</v>
      </c>
      <c r="E110" s="3">
        <v>308</v>
      </c>
      <c r="F110" s="3">
        <v>0</v>
      </c>
      <c r="G110" s="3">
        <v>2</v>
      </c>
      <c r="H110" s="3">
        <v>170</v>
      </c>
      <c r="I110" s="3">
        <v>0</v>
      </c>
      <c r="J110" s="3">
        <v>0</v>
      </c>
      <c r="K110" s="3">
        <v>1</v>
      </c>
      <c r="L110" s="3">
        <v>0</v>
      </c>
      <c r="M110" s="3">
        <v>3</v>
      </c>
      <c r="N110" s="3">
        <v>0</v>
      </c>
      <c r="O110" s="7">
        <f t="shared" si="7"/>
        <v>-3.2640591640000016</v>
      </c>
      <c r="P110" s="7">
        <f t="shared" si="8"/>
        <v>3.6824964272866488E-2</v>
      </c>
      <c r="Q110" s="7">
        <f t="shared" si="9"/>
        <v>0</v>
      </c>
      <c r="R110" s="3">
        <f t="shared" si="10"/>
        <v>0</v>
      </c>
      <c r="S110" s="3">
        <f t="shared" si="11"/>
        <v>0.96317503572713348</v>
      </c>
      <c r="T110" s="3">
        <f t="shared" si="12"/>
        <v>-3.7520122820837144E-2</v>
      </c>
    </row>
    <row r="111" spans="1:20" x14ac:dyDescent="0.25">
      <c r="A111" s="3">
        <v>68</v>
      </c>
      <c r="B111" s="3">
        <v>1</v>
      </c>
      <c r="C111" s="3">
        <v>3</v>
      </c>
      <c r="D111" s="3">
        <v>118</v>
      </c>
      <c r="E111" s="3">
        <v>277</v>
      </c>
      <c r="F111" s="3">
        <v>0</v>
      </c>
      <c r="G111" s="3">
        <v>0</v>
      </c>
      <c r="H111" s="3">
        <v>151</v>
      </c>
      <c r="I111" s="3">
        <v>0</v>
      </c>
      <c r="J111" s="3">
        <v>1</v>
      </c>
      <c r="K111" s="3">
        <v>1</v>
      </c>
      <c r="L111" s="3">
        <v>1</v>
      </c>
      <c r="M111" s="3">
        <v>7</v>
      </c>
      <c r="N111" s="3">
        <v>0</v>
      </c>
      <c r="O111" s="7">
        <f t="shared" si="7"/>
        <v>-0.30658778500000139</v>
      </c>
      <c r="P111" s="7">
        <f t="shared" si="8"/>
        <v>0.42394783959825161</v>
      </c>
      <c r="Q111" s="7">
        <f t="shared" si="9"/>
        <v>0</v>
      </c>
      <c r="R111" s="3">
        <f t="shared" si="10"/>
        <v>0</v>
      </c>
      <c r="S111" s="3">
        <f t="shared" si="11"/>
        <v>0.57605216040174834</v>
      </c>
      <c r="T111" s="3">
        <f t="shared" si="12"/>
        <v>-0.55155706613318045</v>
      </c>
    </row>
    <row r="112" spans="1:20" x14ac:dyDescent="0.25">
      <c r="A112" s="3">
        <v>58</v>
      </c>
      <c r="B112" s="3">
        <v>0</v>
      </c>
      <c r="C112" s="3">
        <v>4</v>
      </c>
      <c r="D112" s="3">
        <v>100</v>
      </c>
      <c r="E112" s="3">
        <v>248</v>
      </c>
      <c r="F112" s="3">
        <v>0</v>
      </c>
      <c r="G112" s="3">
        <v>2</v>
      </c>
      <c r="H112" s="3">
        <v>122</v>
      </c>
      <c r="I112" s="3">
        <v>0</v>
      </c>
      <c r="J112" s="3">
        <v>1</v>
      </c>
      <c r="K112" s="3">
        <v>2</v>
      </c>
      <c r="L112" s="3">
        <v>0</v>
      </c>
      <c r="M112" s="3">
        <v>3</v>
      </c>
      <c r="N112" s="3">
        <v>0</v>
      </c>
      <c r="O112" s="7">
        <f t="shared" si="7"/>
        <v>-1.5719872300000022</v>
      </c>
      <c r="P112" s="7">
        <f t="shared" si="8"/>
        <v>0.17193328089234591</v>
      </c>
      <c r="Q112" s="7">
        <f t="shared" si="9"/>
        <v>0</v>
      </c>
      <c r="R112" s="3">
        <f t="shared" si="10"/>
        <v>0</v>
      </c>
      <c r="S112" s="3">
        <f t="shared" si="11"/>
        <v>0.82806671910765406</v>
      </c>
      <c r="T112" s="3">
        <f t="shared" si="12"/>
        <v>-0.18866154921072853</v>
      </c>
    </row>
    <row r="113" spans="1:20" x14ac:dyDescent="0.25">
      <c r="A113" s="3">
        <v>54</v>
      </c>
      <c r="B113" s="3">
        <v>0</v>
      </c>
      <c r="C113" s="3">
        <v>2</v>
      </c>
      <c r="D113" s="3">
        <v>132</v>
      </c>
      <c r="E113" s="3">
        <v>288</v>
      </c>
      <c r="F113" s="3">
        <v>1</v>
      </c>
      <c r="G113" s="3">
        <v>2</v>
      </c>
      <c r="H113" s="3">
        <v>159</v>
      </c>
      <c r="I113" s="3">
        <v>1</v>
      </c>
      <c r="J113" s="3">
        <v>0</v>
      </c>
      <c r="K113" s="3">
        <v>1</v>
      </c>
      <c r="L113" s="3">
        <v>1</v>
      </c>
      <c r="M113" s="3">
        <v>3</v>
      </c>
      <c r="N113" s="3">
        <v>0</v>
      </c>
      <c r="O113" s="7">
        <f t="shared" si="7"/>
        <v>-2.3321621460000017</v>
      </c>
      <c r="P113" s="7">
        <f t="shared" si="8"/>
        <v>8.8494103050656733E-2</v>
      </c>
      <c r="Q113" s="7">
        <f t="shared" si="9"/>
        <v>0</v>
      </c>
      <c r="R113" s="3">
        <f t="shared" si="10"/>
        <v>0</v>
      </c>
      <c r="S113" s="3">
        <f t="shared" si="11"/>
        <v>0.91150589694934325</v>
      </c>
      <c r="T113" s="3">
        <f t="shared" si="12"/>
        <v>-9.2657215384244138E-2</v>
      </c>
    </row>
    <row r="114" spans="1:20" x14ac:dyDescent="0.25">
      <c r="A114" s="3">
        <v>35</v>
      </c>
      <c r="B114" s="3">
        <v>1</v>
      </c>
      <c r="C114" s="3">
        <v>4</v>
      </c>
      <c r="D114" s="3">
        <v>126</v>
      </c>
      <c r="E114" s="3">
        <v>282</v>
      </c>
      <c r="F114" s="3">
        <v>0</v>
      </c>
      <c r="G114" s="3">
        <v>2</v>
      </c>
      <c r="H114" s="3">
        <v>156</v>
      </c>
      <c r="I114" s="3">
        <v>1</v>
      </c>
      <c r="J114" s="3">
        <v>0</v>
      </c>
      <c r="K114" s="3">
        <v>1</v>
      </c>
      <c r="L114" s="3">
        <v>0</v>
      </c>
      <c r="M114" s="3">
        <v>7</v>
      </c>
      <c r="N114" s="3">
        <v>1</v>
      </c>
      <c r="O114" s="7">
        <f t="shared" si="7"/>
        <v>0.62737639399999878</v>
      </c>
      <c r="P114" s="7">
        <f t="shared" si="8"/>
        <v>0.6518943297431059</v>
      </c>
      <c r="Q114" s="7">
        <f t="shared" si="9"/>
        <v>1</v>
      </c>
      <c r="R114" s="3">
        <f t="shared" si="10"/>
        <v>0</v>
      </c>
      <c r="S114" s="3">
        <f t="shared" si="11"/>
        <v>0.6518943297431059</v>
      </c>
      <c r="T114" s="3">
        <f t="shared" si="12"/>
        <v>-0.42787280113655568</v>
      </c>
    </row>
    <row r="115" spans="1:20" x14ac:dyDescent="0.25">
      <c r="A115" s="3">
        <v>45</v>
      </c>
      <c r="B115" s="3">
        <v>0</v>
      </c>
      <c r="C115" s="3">
        <v>2</v>
      </c>
      <c r="D115" s="3">
        <v>112</v>
      </c>
      <c r="E115" s="3">
        <v>160</v>
      </c>
      <c r="F115" s="3">
        <v>0</v>
      </c>
      <c r="G115" s="3">
        <v>0</v>
      </c>
      <c r="H115" s="3">
        <v>138</v>
      </c>
      <c r="I115" s="3">
        <v>0</v>
      </c>
      <c r="J115" s="3">
        <v>0</v>
      </c>
      <c r="K115" s="3">
        <v>2</v>
      </c>
      <c r="L115" s="3">
        <v>0</v>
      </c>
      <c r="M115" s="3">
        <v>3</v>
      </c>
      <c r="N115" s="3">
        <v>0</v>
      </c>
      <c r="O115" s="7">
        <f t="shared" si="7"/>
        <v>-3.9815082120000014</v>
      </c>
      <c r="P115" s="7">
        <f t="shared" si="8"/>
        <v>1.8315752904510669E-2</v>
      </c>
      <c r="Q115" s="7">
        <f t="shared" si="9"/>
        <v>0</v>
      </c>
      <c r="R115" s="3">
        <f t="shared" si="10"/>
        <v>0</v>
      </c>
      <c r="S115" s="3">
        <f t="shared" si="11"/>
        <v>0.98168424709548929</v>
      </c>
      <c r="T115" s="3">
        <f t="shared" si="12"/>
        <v>-1.848556296890326E-2</v>
      </c>
    </row>
    <row r="116" spans="1:20" x14ac:dyDescent="0.25">
      <c r="A116" s="3">
        <v>59</v>
      </c>
      <c r="B116" s="3">
        <v>0</v>
      </c>
      <c r="C116" s="3">
        <v>4</v>
      </c>
      <c r="D116" s="3">
        <v>174</v>
      </c>
      <c r="E116" s="3">
        <v>249</v>
      </c>
      <c r="F116" s="3">
        <v>0</v>
      </c>
      <c r="G116" s="3">
        <v>0</v>
      </c>
      <c r="H116" s="3">
        <v>143</v>
      </c>
      <c r="I116" s="3">
        <v>1</v>
      </c>
      <c r="J116" s="3">
        <v>0</v>
      </c>
      <c r="K116" s="3">
        <v>2</v>
      </c>
      <c r="L116" s="3">
        <v>0</v>
      </c>
      <c r="M116" s="3">
        <v>3</v>
      </c>
      <c r="N116" s="3">
        <v>1</v>
      </c>
      <c r="O116" s="7">
        <f t="shared" si="7"/>
        <v>0.29193535099999934</v>
      </c>
      <c r="P116" s="7">
        <f t="shared" si="8"/>
        <v>0.57246987274189443</v>
      </c>
      <c r="Q116" s="7">
        <f t="shared" si="9"/>
        <v>1</v>
      </c>
      <c r="R116" s="3">
        <f t="shared" si="10"/>
        <v>0</v>
      </c>
      <c r="S116" s="3">
        <f t="shared" si="11"/>
        <v>0.57246987274189443</v>
      </c>
      <c r="T116" s="3">
        <f t="shared" si="12"/>
        <v>-0.55779516897006076</v>
      </c>
    </row>
    <row r="117" spans="1:20" x14ac:dyDescent="0.25">
      <c r="A117" s="3">
        <v>62</v>
      </c>
      <c r="B117" s="3">
        <v>0</v>
      </c>
      <c r="C117" s="3">
        <v>4</v>
      </c>
      <c r="D117" s="3">
        <v>140</v>
      </c>
      <c r="E117" s="3">
        <v>394</v>
      </c>
      <c r="F117" s="3">
        <v>0</v>
      </c>
      <c r="G117" s="3">
        <v>2</v>
      </c>
      <c r="H117" s="3">
        <v>157</v>
      </c>
      <c r="I117" s="3">
        <v>0</v>
      </c>
      <c r="J117" s="3">
        <v>1.2</v>
      </c>
      <c r="K117" s="3">
        <v>2</v>
      </c>
      <c r="L117" s="3">
        <v>0</v>
      </c>
      <c r="M117" s="3">
        <v>3</v>
      </c>
      <c r="N117" s="3">
        <v>0</v>
      </c>
      <c r="O117" s="7">
        <f t="shared" si="7"/>
        <v>-0.71125765900000104</v>
      </c>
      <c r="P117" s="7">
        <f t="shared" si="8"/>
        <v>0.32932100310511758</v>
      </c>
      <c r="Q117" s="7">
        <f t="shared" si="9"/>
        <v>0</v>
      </c>
      <c r="R117" s="3">
        <f t="shared" si="10"/>
        <v>0</v>
      </c>
      <c r="S117" s="3">
        <f t="shared" si="11"/>
        <v>0.67067899689488242</v>
      </c>
      <c r="T117" s="3">
        <f t="shared" si="12"/>
        <v>-0.39946465156748873</v>
      </c>
    </row>
    <row r="118" spans="1:20" x14ac:dyDescent="0.25">
      <c r="A118" s="3">
        <v>64</v>
      </c>
      <c r="B118" s="3">
        <v>1</v>
      </c>
      <c r="C118" s="3">
        <v>4</v>
      </c>
      <c r="D118" s="3">
        <v>145</v>
      </c>
      <c r="E118" s="3">
        <v>212</v>
      </c>
      <c r="F118" s="3">
        <v>0</v>
      </c>
      <c r="G118" s="3">
        <v>2</v>
      </c>
      <c r="H118" s="3">
        <v>132</v>
      </c>
      <c r="I118" s="3">
        <v>0</v>
      </c>
      <c r="J118" s="3">
        <v>2</v>
      </c>
      <c r="K118" s="3">
        <v>2</v>
      </c>
      <c r="L118" s="3">
        <v>2</v>
      </c>
      <c r="M118" s="3">
        <v>6</v>
      </c>
      <c r="N118" s="3">
        <v>1</v>
      </c>
      <c r="O118" s="7">
        <f t="shared" si="7"/>
        <v>4.3118203989999984</v>
      </c>
      <c r="P118" s="7">
        <f t="shared" si="8"/>
        <v>0.986768307894199</v>
      </c>
      <c r="Q118" s="7">
        <f t="shared" si="9"/>
        <v>1</v>
      </c>
      <c r="R118" s="3">
        <f t="shared" si="10"/>
        <v>0</v>
      </c>
      <c r="S118" s="3">
        <f t="shared" si="11"/>
        <v>0.986768307894199</v>
      </c>
      <c r="T118" s="3">
        <f t="shared" si="12"/>
        <v>-1.3320010880162336E-2</v>
      </c>
    </row>
    <row r="119" spans="1:20" x14ac:dyDescent="0.25">
      <c r="A119" s="3">
        <v>56</v>
      </c>
      <c r="B119" s="3">
        <v>1</v>
      </c>
      <c r="C119" s="3">
        <v>4</v>
      </c>
      <c r="D119" s="3">
        <v>132</v>
      </c>
      <c r="E119" s="3">
        <v>184</v>
      </c>
      <c r="F119" s="3">
        <v>0</v>
      </c>
      <c r="G119" s="3">
        <v>2</v>
      </c>
      <c r="H119" s="3">
        <v>105</v>
      </c>
      <c r="I119" s="3">
        <v>1</v>
      </c>
      <c r="J119" s="3">
        <v>2.1</v>
      </c>
      <c r="K119" s="3">
        <v>2</v>
      </c>
      <c r="L119" s="3">
        <v>1</v>
      </c>
      <c r="M119" s="3">
        <v>6</v>
      </c>
      <c r="N119" s="3">
        <v>1</v>
      </c>
      <c r="O119" s="7">
        <f t="shared" si="7"/>
        <v>3.8471775014999992</v>
      </c>
      <c r="P119" s="7">
        <f t="shared" si="8"/>
        <v>0.97910599237954599</v>
      </c>
      <c r="Q119" s="7">
        <f t="shared" si="9"/>
        <v>1</v>
      </c>
      <c r="R119" s="3">
        <f t="shared" si="10"/>
        <v>0</v>
      </c>
      <c r="S119" s="3">
        <f t="shared" si="11"/>
        <v>0.97910599237954599</v>
      </c>
      <c r="T119" s="3">
        <f t="shared" si="12"/>
        <v>-2.1115376347156326E-2</v>
      </c>
    </row>
    <row r="120" spans="1:20" x14ac:dyDescent="0.25">
      <c r="A120" s="3">
        <v>48</v>
      </c>
      <c r="B120" s="3">
        <v>1</v>
      </c>
      <c r="C120" s="3">
        <v>4</v>
      </c>
      <c r="D120" s="3">
        <v>124</v>
      </c>
      <c r="E120" s="3">
        <v>274</v>
      </c>
      <c r="F120" s="3">
        <v>0</v>
      </c>
      <c r="G120" s="3">
        <v>2</v>
      </c>
      <c r="H120" s="3">
        <v>166</v>
      </c>
      <c r="I120" s="3">
        <v>0</v>
      </c>
      <c r="J120" s="3">
        <v>0.5</v>
      </c>
      <c r="K120" s="3">
        <v>2</v>
      </c>
      <c r="L120" s="3">
        <v>0</v>
      </c>
      <c r="M120" s="3">
        <v>7</v>
      </c>
      <c r="N120" s="3">
        <v>1</v>
      </c>
      <c r="O120" s="7">
        <f t="shared" si="7"/>
        <v>0.42993521949999902</v>
      </c>
      <c r="P120" s="7">
        <f t="shared" si="8"/>
        <v>0.60585819934043184</v>
      </c>
      <c r="Q120" s="7">
        <f t="shared" si="9"/>
        <v>1</v>
      </c>
      <c r="R120" s="3">
        <f t="shared" si="10"/>
        <v>0</v>
      </c>
      <c r="S120" s="3">
        <f t="shared" si="11"/>
        <v>0.60585819934043184</v>
      </c>
      <c r="T120" s="3">
        <f t="shared" si="12"/>
        <v>-0.50110931478154042</v>
      </c>
    </row>
    <row r="121" spans="1:20" x14ac:dyDescent="0.25">
      <c r="A121" s="3">
        <v>56</v>
      </c>
      <c r="B121" s="3">
        <v>0</v>
      </c>
      <c r="C121" s="3">
        <v>4</v>
      </c>
      <c r="D121" s="3">
        <v>134</v>
      </c>
      <c r="E121" s="3">
        <v>409</v>
      </c>
      <c r="F121" s="3">
        <v>0</v>
      </c>
      <c r="G121" s="3">
        <v>2</v>
      </c>
      <c r="H121" s="3">
        <v>150</v>
      </c>
      <c r="I121" s="3">
        <v>1</v>
      </c>
      <c r="J121" s="3">
        <v>1.9</v>
      </c>
      <c r="K121" s="3">
        <v>2</v>
      </c>
      <c r="L121" s="3">
        <v>2</v>
      </c>
      <c r="M121" s="3">
        <v>7</v>
      </c>
      <c r="N121" s="3">
        <v>1</v>
      </c>
      <c r="O121" s="7">
        <f t="shared" si="7"/>
        <v>4.2678713445000014</v>
      </c>
      <c r="P121" s="7">
        <f t="shared" si="8"/>
        <v>0.98618203424230111</v>
      </c>
      <c r="Q121" s="7">
        <f t="shared" si="9"/>
        <v>1</v>
      </c>
      <c r="R121" s="3">
        <f t="shared" si="10"/>
        <v>0</v>
      </c>
      <c r="S121" s="3">
        <f t="shared" si="11"/>
        <v>0.98618203424230111</v>
      </c>
      <c r="T121" s="3">
        <f t="shared" si="12"/>
        <v>-1.3914322512475714E-2</v>
      </c>
    </row>
    <row r="122" spans="1:20" x14ac:dyDescent="0.25">
      <c r="A122" s="3">
        <v>42</v>
      </c>
      <c r="B122" s="3">
        <v>1</v>
      </c>
      <c r="C122" s="3">
        <v>1</v>
      </c>
      <c r="D122" s="3">
        <v>148</v>
      </c>
      <c r="E122" s="3">
        <v>244</v>
      </c>
      <c r="F122" s="3">
        <v>0</v>
      </c>
      <c r="G122" s="3">
        <v>2</v>
      </c>
      <c r="H122" s="3">
        <v>178</v>
      </c>
      <c r="I122" s="3">
        <v>0</v>
      </c>
      <c r="J122" s="3">
        <v>0.8</v>
      </c>
      <c r="K122" s="3">
        <v>1</v>
      </c>
      <c r="L122" s="3">
        <v>2</v>
      </c>
      <c r="M122" s="3">
        <v>3</v>
      </c>
      <c r="N122" s="3">
        <v>0</v>
      </c>
      <c r="O122" s="7">
        <f t="shared" si="7"/>
        <v>-0.77888147400000207</v>
      </c>
      <c r="P122" s="7">
        <f t="shared" si="8"/>
        <v>0.31456100407590853</v>
      </c>
      <c r="Q122" s="7">
        <f t="shared" si="9"/>
        <v>0</v>
      </c>
      <c r="R122" s="3">
        <f t="shared" si="10"/>
        <v>0</v>
      </c>
      <c r="S122" s="3">
        <f t="shared" si="11"/>
        <v>0.68543899592409141</v>
      </c>
      <c r="T122" s="3">
        <f t="shared" si="12"/>
        <v>-0.37769577602719273</v>
      </c>
    </row>
    <row r="123" spans="1:20" x14ac:dyDescent="0.25">
      <c r="A123" s="3">
        <v>67</v>
      </c>
      <c r="B123" s="3">
        <v>1</v>
      </c>
      <c r="C123" s="3">
        <v>4</v>
      </c>
      <c r="D123" s="3">
        <v>100</v>
      </c>
      <c r="E123" s="3">
        <v>299</v>
      </c>
      <c r="F123" s="3">
        <v>0</v>
      </c>
      <c r="G123" s="3">
        <v>2</v>
      </c>
      <c r="H123" s="3">
        <v>125</v>
      </c>
      <c r="I123" s="3">
        <v>1</v>
      </c>
      <c r="J123" s="3">
        <v>0.9</v>
      </c>
      <c r="K123" s="3">
        <v>2</v>
      </c>
      <c r="L123" s="3">
        <v>2</v>
      </c>
      <c r="M123" s="3">
        <v>3</v>
      </c>
      <c r="N123" s="3">
        <v>1</v>
      </c>
      <c r="O123" s="7">
        <f t="shared" si="7"/>
        <v>2.8199651914999979</v>
      </c>
      <c r="P123" s="7">
        <f t="shared" si="8"/>
        <v>0.94374521846580806</v>
      </c>
      <c r="Q123" s="7">
        <f t="shared" si="9"/>
        <v>1</v>
      </c>
      <c r="R123" s="3">
        <f t="shared" si="10"/>
        <v>0</v>
      </c>
      <c r="S123" s="3">
        <f t="shared" si="11"/>
        <v>0.94374521846580806</v>
      </c>
      <c r="T123" s="3">
        <f t="shared" si="12"/>
        <v>-5.789904495803358E-2</v>
      </c>
    </row>
    <row r="124" spans="1:20" x14ac:dyDescent="0.25">
      <c r="A124" s="3">
        <v>69</v>
      </c>
      <c r="B124" s="3">
        <v>1</v>
      </c>
      <c r="C124" s="3">
        <v>1</v>
      </c>
      <c r="D124" s="3">
        <v>160</v>
      </c>
      <c r="E124" s="3">
        <v>234</v>
      </c>
      <c r="F124" s="3">
        <v>1</v>
      </c>
      <c r="G124" s="3">
        <v>2</v>
      </c>
      <c r="H124" s="3">
        <v>131</v>
      </c>
      <c r="I124" s="3">
        <v>0</v>
      </c>
      <c r="J124" s="3">
        <v>0.1</v>
      </c>
      <c r="K124" s="3">
        <v>2</v>
      </c>
      <c r="L124" s="3">
        <v>1</v>
      </c>
      <c r="M124" s="3">
        <v>3</v>
      </c>
      <c r="N124" s="3">
        <v>0</v>
      </c>
      <c r="O124" s="7">
        <f t="shared" si="7"/>
        <v>-0.95164658050000206</v>
      </c>
      <c r="P124" s="7">
        <f t="shared" si="8"/>
        <v>0.27855380193130214</v>
      </c>
      <c r="Q124" s="7">
        <f t="shared" si="9"/>
        <v>0</v>
      </c>
      <c r="R124" s="3">
        <f t="shared" si="10"/>
        <v>0</v>
      </c>
      <c r="S124" s="3">
        <f t="shared" si="11"/>
        <v>0.72144619806869792</v>
      </c>
      <c r="T124" s="3">
        <f t="shared" si="12"/>
        <v>-0.32649747310001292</v>
      </c>
    </row>
    <row r="125" spans="1:20" x14ac:dyDescent="0.25">
      <c r="A125" s="3">
        <v>45</v>
      </c>
      <c r="B125" s="3">
        <v>0</v>
      </c>
      <c r="C125" s="3">
        <v>4</v>
      </c>
      <c r="D125" s="3">
        <v>138</v>
      </c>
      <c r="E125" s="3">
        <v>236</v>
      </c>
      <c r="F125" s="3">
        <v>0</v>
      </c>
      <c r="G125" s="3">
        <v>2</v>
      </c>
      <c r="H125" s="3">
        <v>152</v>
      </c>
      <c r="I125" s="3">
        <v>1</v>
      </c>
      <c r="J125" s="3">
        <v>0.2</v>
      </c>
      <c r="K125" s="3">
        <v>2</v>
      </c>
      <c r="L125" s="3">
        <v>0</v>
      </c>
      <c r="M125" s="3">
        <v>3</v>
      </c>
      <c r="N125" s="3">
        <v>0</v>
      </c>
      <c r="O125" s="7">
        <f t="shared" si="7"/>
        <v>-0.36251709699999957</v>
      </c>
      <c r="P125" s="7">
        <f t="shared" si="8"/>
        <v>0.41035038459043272</v>
      </c>
      <c r="Q125" s="7">
        <f t="shared" si="9"/>
        <v>0</v>
      </c>
      <c r="R125" s="3">
        <f t="shared" si="10"/>
        <v>0</v>
      </c>
      <c r="S125" s="3">
        <f t="shared" si="11"/>
        <v>0.58964961540956728</v>
      </c>
      <c r="T125" s="3">
        <f t="shared" si="12"/>
        <v>-0.52822679068148093</v>
      </c>
    </row>
    <row r="126" spans="1:20" x14ac:dyDescent="0.25">
      <c r="A126" s="3">
        <v>50</v>
      </c>
      <c r="B126" s="3">
        <v>0</v>
      </c>
      <c r="C126" s="3">
        <v>2</v>
      </c>
      <c r="D126" s="3">
        <v>120</v>
      </c>
      <c r="E126" s="3">
        <v>244</v>
      </c>
      <c r="F126" s="3">
        <v>0</v>
      </c>
      <c r="G126" s="3">
        <v>0</v>
      </c>
      <c r="H126" s="3">
        <v>162</v>
      </c>
      <c r="I126" s="3">
        <v>0</v>
      </c>
      <c r="J126" s="3">
        <v>1.1000000000000001</v>
      </c>
      <c r="K126" s="3">
        <v>1</v>
      </c>
      <c r="L126" s="3">
        <v>0</v>
      </c>
      <c r="M126" s="3">
        <v>3</v>
      </c>
      <c r="N126" s="3">
        <v>0</v>
      </c>
      <c r="O126" s="7">
        <f t="shared" si="7"/>
        <v>-4.6955441515000009</v>
      </c>
      <c r="P126" s="7">
        <f t="shared" si="8"/>
        <v>9.0531857524915292E-3</v>
      </c>
      <c r="Q126" s="7">
        <f t="shared" si="9"/>
        <v>0</v>
      </c>
      <c r="R126" s="3">
        <f t="shared" si="10"/>
        <v>0</v>
      </c>
      <c r="S126" s="3">
        <f t="shared" si="11"/>
        <v>0.99094681424750852</v>
      </c>
      <c r="T126" s="3">
        <f t="shared" si="12"/>
        <v>-9.0944148638034926E-3</v>
      </c>
    </row>
    <row r="127" spans="1:20" x14ac:dyDescent="0.25">
      <c r="A127" s="3">
        <v>59</v>
      </c>
      <c r="B127" s="3">
        <v>1</v>
      </c>
      <c r="C127" s="3">
        <v>1</v>
      </c>
      <c r="D127" s="3">
        <v>160</v>
      </c>
      <c r="E127" s="3">
        <v>273</v>
      </c>
      <c r="F127" s="3">
        <v>0</v>
      </c>
      <c r="G127" s="3">
        <v>2</v>
      </c>
      <c r="H127" s="3">
        <v>125</v>
      </c>
      <c r="I127" s="3">
        <v>0</v>
      </c>
      <c r="J127" s="3">
        <v>0</v>
      </c>
      <c r="K127" s="3">
        <v>1</v>
      </c>
      <c r="L127" s="3">
        <v>0</v>
      </c>
      <c r="M127" s="3">
        <v>3</v>
      </c>
      <c r="N127" s="3">
        <v>1</v>
      </c>
      <c r="O127" s="7">
        <f t="shared" si="7"/>
        <v>-2.403957782</v>
      </c>
      <c r="P127" s="7">
        <f t="shared" si="8"/>
        <v>8.2871393287960574E-2</v>
      </c>
      <c r="Q127" s="7">
        <f t="shared" si="9"/>
        <v>0</v>
      </c>
      <c r="R127" s="3">
        <f t="shared" si="10"/>
        <v>1</v>
      </c>
      <c r="S127" s="3">
        <f t="shared" si="11"/>
        <v>8.2871393287960574E-2</v>
      </c>
      <c r="T127" s="3">
        <f t="shared" si="12"/>
        <v>-2.4904653513270736</v>
      </c>
    </row>
    <row r="128" spans="1:20" x14ac:dyDescent="0.25">
      <c r="A128" s="3">
        <v>64</v>
      </c>
      <c r="B128" s="3">
        <v>0</v>
      </c>
      <c r="C128" s="3">
        <v>3</v>
      </c>
      <c r="D128" s="3">
        <v>140</v>
      </c>
      <c r="E128" s="3">
        <v>313</v>
      </c>
      <c r="F128" s="3">
        <v>0</v>
      </c>
      <c r="G128" s="3">
        <v>0</v>
      </c>
      <c r="H128" s="3">
        <v>133</v>
      </c>
      <c r="I128" s="3">
        <v>0</v>
      </c>
      <c r="J128" s="3">
        <v>0.2</v>
      </c>
      <c r="K128" s="3">
        <v>1</v>
      </c>
      <c r="L128" s="3">
        <v>0</v>
      </c>
      <c r="M128" s="3">
        <v>7</v>
      </c>
      <c r="N128" s="3">
        <v>0</v>
      </c>
      <c r="O128" s="7">
        <f t="shared" si="7"/>
        <v>-1.6124020770000005</v>
      </c>
      <c r="P128" s="7">
        <f t="shared" si="8"/>
        <v>0.16625538381478056</v>
      </c>
      <c r="Q128" s="7">
        <f t="shared" si="9"/>
        <v>0</v>
      </c>
      <c r="R128" s="3">
        <f t="shared" si="10"/>
        <v>0</v>
      </c>
      <c r="S128" s="3">
        <f t="shared" si="11"/>
        <v>0.83374461618521944</v>
      </c>
      <c r="T128" s="3">
        <f t="shared" si="12"/>
        <v>-0.18182813912221449</v>
      </c>
    </row>
    <row r="129" spans="1:20" x14ac:dyDescent="0.25">
      <c r="A129" s="3">
        <v>45</v>
      </c>
      <c r="B129" s="3">
        <v>1</v>
      </c>
      <c r="C129" s="3">
        <v>4</v>
      </c>
      <c r="D129" s="3">
        <v>142</v>
      </c>
      <c r="E129" s="3">
        <v>309</v>
      </c>
      <c r="F129" s="3">
        <v>0</v>
      </c>
      <c r="G129" s="3">
        <v>2</v>
      </c>
      <c r="H129" s="3">
        <v>147</v>
      </c>
      <c r="I129" s="3">
        <v>1</v>
      </c>
      <c r="J129" s="3">
        <v>0</v>
      </c>
      <c r="K129" s="3">
        <v>2</v>
      </c>
      <c r="L129" s="3">
        <v>3</v>
      </c>
      <c r="M129" s="3">
        <v>7</v>
      </c>
      <c r="N129" s="3">
        <v>1</v>
      </c>
      <c r="O129" s="7">
        <f t="shared" si="7"/>
        <v>6.3394654369999994</v>
      </c>
      <c r="P129" s="7">
        <f t="shared" si="8"/>
        <v>0.99823786498146538</v>
      </c>
      <c r="Q129" s="7">
        <f t="shared" si="9"/>
        <v>1</v>
      </c>
      <c r="R129" s="3">
        <f t="shared" si="10"/>
        <v>0</v>
      </c>
      <c r="S129" s="3">
        <f t="shared" si="11"/>
        <v>0.99823786498146538</v>
      </c>
      <c r="T129" s="3">
        <f t="shared" si="12"/>
        <v>-1.7636894047403605E-3</v>
      </c>
    </row>
    <row r="130" spans="1:20" x14ac:dyDescent="0.25">
      <c r="A130" s="3">
        <v>41</v>
      </c>
      <c r="B130" s="3">
        <v>1</v>
      </c>
      <c r="C130" s="3">
        <v>3</v>
      </c>
      <c r="D130" s="3">
        <v>130</v>
      </c>
      <c r="E130" s="3">
        <v>214</v>
      </c>
      <c r="F130" s="3">
        <v>0</v>
      </c>
      <c r="G130" s="3">
        <v>2</v>
      </c>
      <c r="H130" s="3">
        <v>168</v>
      </c>
      <c r="I130" s="3">
        <v>0</v>
      </c>
      <c r="J130" s="3">
        <v>2</v>
      </c>
      <c r="K130" s="3">
        <v>2</v>
      </c>
      <c r="L130" s="3">
        <v>0</v>
      </c>
      <c r="M130" s="3">
        <v>3</v>
      </c>
      <c r="N130" s="3">
        <v>0</v>
      </c>
      <c r="O130" s="7">
        <f t="shared" si="7"/>
        <v>-1.2008318100000013</v>
      </c>
      <c r="P130" s="7">
        <f t="shared" si="8"/>
        <v>0.23132727517924823</v>
      </c>
      <c r="Q130" s="7">
        <f t="shared" si="9"/>
        <v>0</v>
      </c>
      <c r="R130" s="3">
        <f t="shared" si="10"/>
        <v>0</v>
      </c>
      <c r="S130" s="3">
        <f t="shared" si="11"/>
        <v>0.76867272482075177</v>
      </c>
      <c r="T130" s="3">
        <f t="shared" si="12"/>
        <v>-0.26308998547231105</v>
      </c>
    </row>
    <row r="131" spans="1:20" x14ac:dyDescent="0.25">
      <c r="A131" s="3">
        <v>66</v>
      </c>
      <c r="B131" s="3">
        <v>0</v>
      </c>
      <c r="C131" s="3">
        <v>4</v>
      </c>
      <c r="D131" s="3">
        <v>178</v>
      </c>
      <c r="E131" s="3">
        <v>228</v>
      </c>
      <c r="F131" s="3">
        <v>1</v>
      </c>
      <c r="G131" s="3">
        <v>0</v>
      </c>
      <c r="H131" s="3">
        <v>165</v>
      </c>
      <c r="I131" s="3">
        <v>1</v>
      </c>
      <c r="J131" s="3">
        <v>1</v>
      </c>
      <c r="K131" s="3">
        <v>2</v>
      </c>
      <c r="L131" s="3">
        <v>2</v>
      </c>
      <c r="M131" s="3">
        <v>7</v>
      </c>
      <c r="N131" s="3">
        <v>1</v>
      </c>
      <c r="O131" s="7">
        <f t="shared" si="7"/>
        <v>3.5739580029999978</v>
      </c>
      <c r="P131" s="7">
        <f t="shared" si="8"/>
        <v>0.97272041302637058</v>
      </c>
      <c r="Q131" s="7">
        <f t="shared" si="9"/>
        <v>1</v>
      </c>
      <c r="R131" s="3">
        <f t="shared" si="10"/>
        <v>0</v>
      </c>
      <c r="S131" s="3">
        <f t="shared" si="11"/>
        <v>0.97272041302637058</v>
      </c>
      <c r="T131" s="3">
        <f t="shared" si="12"/>
        <v>-2.7658583384340553E-2</v>
      </c>
    </row>
    <row r="132" spans="1:20" x14ac:dyDescent="0.25">
      <c r="A132" s="3">
        <v>52</v>
      </c>
      <c r="B132" s="3">
        <v>1</v>
      </c>
      <c r="C132" s="3">
        <v>4</v>
      </c>
      <c r="D132" s="3">
        <v>112</v>
      </c>
      <c r="E132" s="3">
        <v>230</v>
      </c>
      <c r="F132" s="3">
        <v>0</v>
      </c>
      <c r="G132" s="3">
        <v>0</v>
      </c>
      <c r="H132" s="3">
        <v>160</v>
      </c>
      <c r="I132" s="3">
        <v>0</v>
      </c>
      <c r="J132" s="3">
        <v>0</v>
      </c>
      <c r="K132" s="3">
        <v>1</v>
      </c>
      <c r="L132" s="3">
        <v>1</v>
      </c>
      <c r="M132" s="3">
        <v>3</v>
      </c>
      <c r="N132" s="3">
        <v>1</v>
      </c>
      <c r="O132" s="7">
        <f t="shared" si="7"/>
        <v>-1.2244140220000013</v>
      </c>
      <c r="P132" s="7">
        <f t="shared" si="8"/>
        <v>0.227160597668531</v>
      </c>
      <c r="Q132" s="7">
        <f t="shared" si="9"/>
        <v>0</v>
      </c>
      <c r="R132" s="3">
        <f t="shared" si="10"/>
        <v>1</v>
      </c>
      <c r="S132" s="3">
        <f t="shared" si="11"/>
        <v>0.227160597668531</v>
      </c>
      <c r="T132" s="3">
        <f t="shared" si="12"/>
        <v>-1.482098032929831</v>
      </c>
    </row>
    <row r="133" spans="1:20" x14ac:dyDescent="0.25">
      <c r="A133" s="3">
        <v>56</v>
      </c>
      <c r="B133" s="3">
        <v>1</v>
      </c>
      <c r="C133" s="3">
        <v>1</v>
      </c>
      <c r="D133" s="3">
        <v>120</v>
      </c>
      <c r="E133" s="3">
        <v>193</v>
      </c>
      <c r="F133" s="3">
        <v>0</v>
      </c>
      <c r="G133" s="3">
        <v>2</v>
      </c>
      <c r="H133" s="3">
        <v>162</v>
      </c>
      <c r="I133" s="3">
        <v>0</v>
      </c>
      <c r="J133" s="3">
        <v>1.9</v>
      </c>
      <c r="K133" s="3">
        <v>2</v>
      </c>
      <c r="L133" s="3">
        <v>0</v>
      </c>
      <c r="M133" s="3">
        <v>7</v>
      </c>
      <c r="N133" s="3">
        <v>0</v>
      </c>
      <c r="O133" s="7">
        <f t="shared" si="7"/>
        <v>-2.0807256495000015</v>
      </c>
      <c r="P133" s="7">
        <f t="shared" si="8"/>
        <v>0.11098434896668882</v>
      </c>
      <c r="Q133" s="7">
        <f t="shared" si="9"/>
        <v>0</v>
      </c>
      <c r="R133" s="3">
        <f t="shared" si="10"/>
        <v>0</v>
      </c>
      <c r="S133" s="3">
        <f t="shared" si="11"/>
        <v>0.88901565103331115</v>
      </c>
      <c r="T133" s="3">
        <f t="shared" si="12"/>
        <v>-0.11764043841137883</v>
      </c>
    </row>
    <row r="134" spans="1:20" x14ac:dyDescent="0.25">
      <c r="A134" s="3">
        <v>59</v>
      </c>
      <c r="B134" s="3">
        <v>1</v>
      </c>
      <c r="C134" s="3">
        <v>4</v>
      </c>
      <c r="D134" s="3">
        <v>138</v>
      </c>
      <c r="E134" s="3">
        <v>271</v>
      </c>
      <c r="F134" s="3">
        <v>0</v>
      </c>
      <c r="G134" s="3">
        <v>2</v>
      </c>
      <c r="H134" s="3">
        <v>182</v>
      </c>
      <c r="I134" s="3">
        <v>0</v>
      </c>
      <c r="J134" s="3">
        <v>0</v>
      </c>
      <c r="K134" s="3">
        <v>1</v>
      </c>
      <c r="L134" s="3">
        <v>0</v>
      </c>
      <c r="M134" s="3">
        <v>3</v>
      </c>
      <c r="N134" s="3">
        <v>0</v>
      </c>
      <c r="O134" s="7">
        <f t="shared" si="7"/>
        <v>-1.7874224730000003</v>
      </c>
      <c r="P134" s="7">
        <f t="shared" si="8"/>
        <v>0.14338902663531897</v>
      </c>
      <c r="Q134" s="7">
        <f t="shared" si="9"/>
        <v>0</v>
      </c>
      <c r="R134" s="3">
        <f t="shared" si="10"/>
        <v>0</v>
      </c>
      <c r="S134" s="3">
        <f t="shared" si="11"/>
        <v>0.85661097336468106</v>
      </c>
      <c r="T134" s="3">
        <f t="shared" si="12"/>
        <v>-0.15477140351088836</v>
      </c>
    </row>
    <row r="135" spans="1:20" x14ac:dyDescent="0.25">
      <c r="A135" s="3">
        <v>67</v>
      </c>
      <c r="B135" s="3">
        <v>0</v>
      </c>
      <c r="C135" s="3">
        <v>3</v>
      </c>
      <c r="D135" s="3">
        <v>152</v>
      </c>
      <c r="E135" s="3">
        <v>277</v>
      </c>
      <c r="F135" s="3">
        <v>0</v>
      </c>
      <c r="G135" s="3">
        <v>0</v>
      </c>
      <c r="H135" s="3">
        <v>172</v>
      </c>
      <c r="I135" s="3">
        <v>0</v>
      </c>
      <c r="J135" s="3">
        <v>0</v>
      </c>
      <c r="K135" s="3">
        <v>1</v>
      </c>
      <c r="L135" s="3">
        <v>1</v>
      </c>
      <c r="M135" s="3">
        <v>3</v>
      </c>
      <c r="N135" s="3">
        <v>0</v>
      </c>
      <c r="O135" s="7">
        <f t="shared" ref="O135:O198" si="13">SUMPRODUCT(A$4:M$4, A135:M135)+N$4</f>
        <v>-2.03624999</v>
      </c>
      <c r="P135" s="7">
        <f t="shared" ref="P135:P198" si="14">1/(1+EXP(0-O135))</f>
        <v>0.11544913353569598</v>
      </c>
      <c r="Q135" s="7">
        <f t="shared" ref="Q135:Q198" si="15">IF(P135&lt;=0.5, 0, 1)</f>
        <v>0</v>
      </c>
      <c r="R135" s="3">
        <f t="shared" ref="R135:R198" si="16">IF(N135=Q135, 0, 1)</f>
        <v>0</v>
      </c>
      <c r="S135" s="3">
        <f t="shared" ref="S135:S198" si="17">IF(N135=1, P135, 1-P135)</f>
        <v>0.88455086646430403</v>
      </c>
      <c r="T135" s="3">
        <f t="shared" ref="T135:T198" si="18">IF(S135=0, -100000, LN(S135))</f>
        <v>-0.12267525831420502</v>
      </c>
    </row>
    <row r="136" spans="1:20" x14ac:dyDescent="0.25">
      <c r="A136" s="3">
        <v>52</v>
      </c>
      <c r="B136" s="3">
        <v>0</v>
      </c>
      <c r="C136" s="3">
        <v>3</v>
      </c>
      <c r="D136" s="3">
        <v>136</v>
      </c>
      <c r="E136" s="3">
        <v>196</v>
      </c>
      <c r="F136" s="3">
        <v>0</v>
      </c>
      <c r="G136" s="3">
        <v>2</v>
      </c>
      <c r="H136" s="3">
        <v>169</v>
      </c>
      <c r="I136" s="3">
        <v>0</v>
      </c>
      <c r="J136" s="3">
        <v>0.1</v>
      </c>
      <c r="K136" s="3">
        <v>2</v>
      </c>
      <c r="L136" s="3">
        <v>0</v>
      </c>
      <c r="M136" s="3">
        <v>3</v>
      </c>
      <c r="N136" s="3">
        <v>0</v>
      </c>
      <c r="O136" s="7">
        <f t="shared" si="13"/>
        <v>-2.5463730865</v>
      </c>
      <c r="P136" s="7">
        <f t="shared" si="14"/>
        <v>7.2670522815848806E-2</v>
      </c>
      <c r="Q136" s="7">
        <f t="shared" si="15"/>
        <v>0</v>
      </c>
      <c r="R136" s="3">
        <f t="shared" si="16"/>
        <v>0</v>
      </c>
      <c r="S136" s="3">
        <f t="shared" si="17"/>
        <v>0.92732947718415115</v>
      </c>
      <c r="T136" s="3">
        <f t="shared" si="18"/>
        <v>-7.5446353495974006E-2</v>
      </c>
    </row>
    <row r="137" spans="1:20" x14ac:dyDescent="0.25">
      <c r="A137" s="3">
        <v>54</v>
      </c>
      <c r="B137" s="3">
        <v>1</v>
      </c>
      <c r="C137" s="3">
        <v>4</v>
      </c>
      <c r="D137" s="3">
        <v>122</v>
      </c>
      <c r="E137" s="3">
        <v>286</v>
      </c>
      <c r="F137" s="3">
        <v>0</v>
      </c>
      <c r="G137" s="3">
        <v>2</v>
      </c>
      <c r="H137" s="3">
        <v>116</v>
      </c>
      <c r="I137" s="3">
        <v>1</v>
      </c>
      <c r="J137" s="3">
        <v>3.2</v>
      </c>
      <c r="K137" s="3">
        <v>2</v>
      </c>
      <c r="L137" s="3">
        <v>2</v>
      </c>
      <c r="M137" s="3">
        <v>3</v>
      </c>
      <c r="N137" s="3">
        <v>1</v>
      </c>
      <c r="O137" s="7">
        <f t="shared" si="13"/>
        <v>4.3258782399999998</v>
      </c>
      <c r="P137" s="7">
        <f t="shared" si="14"/>
        <v>0.98695060525696821</v>
      </c>
      <c r="Q137" s="7">
        <f t="shared" si="15"/>
        <v>1</v>
      </c>
      <c r="R137" s="3">
        <f t="shared" si="16"/>
        <v>0</v>
      </c>
      <c r="S137" s="3">
        <f t="shared" si="17"/>
        <v>0.98695060525696821</v>
      </c>
      <c r="T137" s="3">
        <f t="shared" si="18"/>
        <v>-1.3135286133317272E-2</v>
      </c>
    </row>
    <row r="138" spans="1:20" x14ac:dyDescent="0.25">
      <c r="A138" s="3">
        <v>56</v>
      </c>
      <c r="B138" s="3">
        <v>1</v>
      </c>
      <c r="C138" s="3">
        <v>4</v>
      </c>
      <c r="D138" s="3">
        <v>130</v>
      </c>
      <c r="E138" s="3">
        <v>283</v>
      </c>
      <c r="F138" s="3">
        <v>1</v>
      </c>
      <c r="G138" s="3">
        <v>2</v>
      </c>
      <c r="H138" s="3">
        <v>103</v>
      </c>
      <c r="I138" s="3">
        <v>1</v>
      </c>
      <c r="J138" s="3">
        <v>1.6</v>
      </c>
      <c r="K138" s="3">
        <v>3</v>
      </c>
      <c r="L138" s="3">
        <v>0</v>
      </c>
      <c r="M138" s="3">
        <v>7</v>
      </c>
      <c r="N138" s="3">
        <v>1</v>
      </c>
      <c r="O138" s="7">
        <f t="shared" si="13"/>
        <v>3.2131922330000009</v>
      </c>
      <c r="P138" s="7">
        <f t="shared" si="14"/>
        <v>0.96132771727525068</v>
      </c>
      <c r="Q138" s="7">
        <f t="shared" si="15"/>
        <v>1</v>
      </c>
      <c r="R138" s="3">
        <f t="shared" si="16"/>
        <v>0</v>
      </c>
      <c r="S138" s="3">
        <f t="shared" si="17"/>
        <v>0.96132771727525068</v>
      </c>
      <c r="T138" s="3">
        <f t="shared" si="18"/>
        <v>-3.9439911209159205E-2</v>
      </c>
    </row>
    <row r="139" spans="1:20" x14ac:dyDescent="0.25">
      <c r="A139" s="3">
        <v>41</v>
      </c>
      <c r="B139" s="3">
        <v>0</v>
      </c>
      <c r="C139" s="3">
        <v>2</v>
      </c>
      <c r="D139" s="3">
        <v>126</v>
      </c>
      <c r="E139" s="3">
        <v>306</v>
      </c>
      <c r="F139" s="3">
        <v>0</v>
      </c>
      <c r="G139" s="3">
        <v>0</v>
      </c>
      <c r="H139" s="3">
        <v>163</v>
      </c>
      <c r="I139" s="3">
        <v>0</v>
      </c>
      <c r="J139" s="3">
        <v>0</v>
      </c>
      <c r="K139" s="3">
        <v>1</v>
      </c>
      <c r="L139" s="3">
        <v>0</v>
      </c>
      <c r="M139" s="3">
        <v>3</v>
      </c>
      <c r="N139" s="3">
        <v>0</v>
      </c>
      <c r="O139" s="7">
        <f t="shared" si="13"/>
        <v>-4.5280846670000008</v>
      </c>
      <c r="P139" s="7">
        <f t="shared" si="14"/>
        <v>1.0685922118962476E-2</v>
      </c>
      <c r="Q139" s="7">
        <f t="shared" si="15"/>
        <v>0</v>
      </c>
      <c r="R139" s="3">
        <f t="shared" si="16"/>
        <v>0</v>
      </c>
      <c r="S139" s="3">
        <f t="shared" si="17"/>
        <v>0.98931407788103753</v>
      </c>
      <c r="T139" s="3">
        <f t="shared" si="18"/>
        <v>-1.0743426610633922E-2</v>
      </c>
    </row>
    <row r="140" spans="1:20" x14ac:dyDescent="0.25">
      <c r="A140" s="3">
        <v>67</v>
      </c>
      <c r="B140" s="3">
        <v>1</v>
      </c>
      <c r="C140" s="3">
        <v>4</v>
      </c>
      <c r="D140" s="3">
        <v>120</v>
      </c>
      <c r="E140" s="3">
        <v>237</v>
      </c>
      <c r="F140" s="3">
        <v>0</v>
      </c>
      <c r="G140" s="3">
        <v>0</v>
      </c>
      <c r="H140" s="3">
        <v>71</v>
      </c>
      <c r="I140" s="3">
        <v>0</v>
      </c>
      <c r="J140" s="3">
        <v>1</v>
      </c>
      <c r="K140" s="3">
        <v>2</v>
      </c>
      <c r="L140" s="3">
        <v>0</v>
      </c>
      <c r="M140" s="3">
        <v>3</v>
      </c>
      <c r="N140" s="3">
        <v>1</v>
      </c>
      <c r="O140" s="7">
        <f t="shared" si="13"/>
        <v>0.42429309099999912</v>
      </c>
      <c r="P140" s="7">
        <f t="shared" si="14"/>
        <v>0.6045100910701231</v>
      </c>
      <c r="Q140" s="7">
        <f t="shared" si="15"/>
        <v>1</v>
      </c>
      <c r="R140" s="3">
        <f t="shared" si="16"/>
        <v>0</v>
      </c>
      <c r="S140" s="3">
        <f t="shared" si="17"/>
        <v>0.6045100910701231</v>
      </c>
      <c r="T140" s="3">
        <f t="shared" si="18"/>
        <v>-0.50333691581579643</v>
      </c>
    </row>
    <row r="141" spans="1:20" x14ac:dyDescent="0.25">
      <c r="A141" s="3">
        <v>43</v>
      </c>
      <c r="B141" s="3">
        <v>1</v>
      </c>
      <c r="C141" s="3">
        <v>4</v>
      </c>
      <c r="D141" s="3">
        <v>115</v>
      </c>
      <c r="E141" s="3">
        <v>303</v>
      </c>
      <c r="F141" s="3">
        <v>0</v>
      </c>
      <c r="G141" s="3">
        <v>0</v>
      </c>
      <c r="H141" s="3">
        <v>181</v>
      </c>
      <c r="I141" s="3">
        <v>0</v>
      </c>
      <c r="J141" s="3">
        <v>1.2</v>
      </c>
      <c r="K141" s="3">
        <v>2</v>
      </c>
      <c r="L141" s="3">
        <v>0</v>
      </c>
      <c r="M141" s="3">
        <v>3</v>
      </c>
      <c r="N141" s="3">
        <v>0</v>
      </c>
      <c r="O141" s="7">
        <f t="shared" si="13"/>
        <v>-1.5682080780000005</v>
      </c>
      <c r="P141" s="7">
        <f t="shared" si="14"/>
        <v>0.172471994445279</v>
      </c>
      <c r="Q141" s="7">
        <f t="shared" si="15"/>
        <v>0</v>
      </c>
      <c r="R141" s="3">
        <f t="shared" si="16"/>
        <v>0</v>
      </c>
      <c r="S141" s="3">
        <f t="shared" si="17"/>
        <v>0.82752800555472095</v>
      </c>
      <c r="T141" s="3">
        <f t="shared" si="18"/>
        <v>-0.18931232873294004</v>
      </c>
    </row>
    <row r="142" spans="1:20" x14ac:dyDescent="0.25">
      <c r="A142" s="3">
        <v>76</v>
      </c>
      <c r="B142" s="3">
        <v>0</v>
      </c>
      <c r="C142" s="3">
        <v>3</v>
      </c>
      <c r="D142" s="3">
        <v>140</v>
      </c>
      <c r="E142" s="3">
        <v>197</v>
      </c>
      <c r="F142" s="3">
        <v>0</v>
      </c>
      <c r="G142" s="3">
        <v>1</v>
      </c>
      <c r="H142" s="3">
        <v>116</v>
      </c>
      <c r="I142" s="3">
        <v>0</v>
      </c>
      <c r="J142" s="3">
        <v>1.1000000000000001</v>
      </c>
      <c r="K142" s="3">
        <v>2</v>
      </c>
      <c r="L142" s="3">
        <v>0</v>
      </c>
      <c r="M142" s="3">
        <v>3</v>
      </c>
      <c r="N142" s="3">
        <v>0</v>
      </c>
      <c r="O142" s="7">
        <f t="shared" si="13"/>
        <v>-1.5852806215000008</v>
      </c>
      <c r="P142" s="7">
        <f t="shared" si="14"/>
        <v>0.17004891681531731</v>
      </c>
      <c r="Q142" s="7">
        <f t="shared" si="15"/>
        <v>0</v>
      </c>
      <c r="R142" s="3">
        <f t="shared" si="16"/>
        <v>0</v>
      </c>
      <c r="S142" s="3">
        <f t="shared" si="17"/>
        <v>0.82995108318468269</v>
      </c>
      <c r="T142" s="3">
        <f t="shared" si="18"/>
        <v>-0.18638851585035218</v>
      </c>
    </row>
    <row r="143" spans="1:20" x14ac:dyDescent="0.25">
      <c r="A143" s="3">
        <v>40</v>
      </c>
      <c r="B143" s="3">
        <v>1</v>
      </c>
      <c r="C143" s="3">
        <v>4</v>
      </c>
      <c r="D143" s="3">
        <v>152</v>
      </c>
      <c r="E143" s="3">
        <v>223</v>
      </c>
      <c r="F143" s="3">
        <v>0</v>
      </c>
      <c r="G143" s="3">
        <v>0</v>
      </c>
      <c r="H143" s="3">
        <v>181</v>
      </c>
      <c r="I143" s="3">
        <v>0</v>
      </c>
      <c r="J143" s="3">
        <v>0</v>
      </c>
      <c r="K143" s="3">
        <v>1</v>
      </c>
      <c r="L143" s="3">
        <v>0</v>
      </c>
      <c r="M143" s="3">
        <v>7</v>
      </c>
      <c r="N143" s="3">
        <v>1</v>
      </c>
      <c r="O143" s="7">
        <f t="shared" si="13"/>
        <v>-0.50516372999999959</v>
      </c>
      <c r="P143" s="7">
        <f t="shared" si="14"/>
        <v>0.37632794263768116</v>
      </c>
      <c r="Q143" s="7">
        <f t="shared" si="15"/>
        <v>0</v>
      </c>
      <c r="R143" s="3">
        <f t="shared" si="16"/>
        <v>1</v>
      </c>
      <c r="S143" s="3">
        <f t="shared" si="17"/>
        <v>0.37632794263768116</v>
      </c>
      <c r="T143" s="3">
        <f t="shared" si="18"/>
        <v>-0.97729432786088966</v>
      </c>
    </row>
    <row r="144" spans="1:20" x14ac:dyDescent="0.25">
      <c r="A144" s="3">
        <v>71</v>
      </c>
      <c r="B144" s="3">
        <v>0</v>
      </c>
      <c r="C144" s="3">
        <v>4</v>
      </c>
      <c r="D144" s="3">
        <v>112</v>
      </c>
      <c r="E144" s="3">
        <v>149</v>
      </c>
      <c r="F144" s="3">
        <v>0</v>
      </c>
      <c r="G144" s="3">
        <v>0</v>
      </c>
      <c r="H144" s="3">
        <v>125</v>
      </c>
      <c r="I144" s="3">
        <v>0</v>
      </c>
      <c r="J144" s="3">
        <v>1.6</v>
      </c>
      <c r="K144" s="3">
        <v>2</v>
      </c>
      <c r="L144" s="3">
        <v>0</v>
      </c>
      <c r="M144" s="3">
        <v>3</v>
      </c>
      <c r="N144" s="3">
        <v>0</v>
      </c>
      <c r="O144" s="7">
        <f t="shared" si="13"/>
        <v>-1.9945889490000015</v>
      </c>
      <c r="P144" s="7">
        <f t="shared" si="14"/>
        <v>0.11977221932250108</v>
      </c>
      <c r="Q144" s="7">
        <f t="shared" si="15"/>
        <v>0</v>
      </c>
      <c r="R144" s="3">
        <f t="shared" si="16"/>
        <v>0</v>
      </c>
      <c r="S144" s="3">
        <f t="shared" si="17"/>
        <v>0.88022778067749896</v>
      </c>
      <c r="T144" s="3">
        <f t="shared" si="18"/>
        <v>-0.1275745633246366</v>
      </c>
    </row>
    <row r="145" spans="1:20" x14ac:dyDescent="0.25">
      <c r="A145" s="3">
        <v>39</v>
      </c>
      <c r="B145" s="3">
        <v>0</v>
      </c>
      <c r="C145" s="3">
        <v>3</v>
      </c>
      <c r="D145" s="3">
        <v>138</v>
      </c>
      <c r="E145" s="3">
        <v>220</v>
      </c>
      <c r="F145" s="3">
        <v>0</v>
      </c>
      <c r="G145" s="3">
        <v>0</v>
      </c>
      <c r="H145" s="3">
        <v>152</v>
      </c>
      <c r="I145" s="3">
        <v>0</v>
      </c>
      <c r="J145" s="3">
        <v>0</v>
      </c>
      <c r="K145" s="3">
        <v>2</v>
      </c>
      <c r="L145" s="3">
        <v>0</v>
      </c>
      <c r="M145" s="3">
        <v>3</v>
      </c>
      <c r="N145" s="3">
        <v>0</v>
      </c>
      <c r="O145" s="7">
        <f t="shared" si="13"/>
        <v>-2.4236952269999996</v>
      </c>
      <c r="P145" s="7">
        <f t="shared" si="14"/>
        <v>8.1383571552130177E-2</v>
      </c>
      <c r="Q145" s="7">
        <f t="shared" si="15"/>
        <v>0</v>
      </c>
      <c r="R145" s="3">
        <f t="shared" si="16"/>
        <v>0</v>
      </c>
      <c r="S145" s="3">
        <f t="shared" si="17"/>
        <v>0.91861642844786984</v>
      </c>
      <c r="T145" s="3">
        <f t="shared" si="18"/>
        <v>-8.4886623026687646E-2</v>
      </c>
    </row>
    <row r="146" spans="1:20" x14ac:dyDescent="0.25">
      <c r="A146" s="3">
        <v>61</v>
      </c>
      <c r="B146" s="3">
        <v>1</v>
      </c>
      <c r="C146" s="3">
        <v>4</v>
      </c>
      <c r="D146" s="3">
        <v>148</v>
      </c>
      <c r="E146" s="3">
        <v>203</v>
      </c>
      <c r="F146" s="3">
        <v>0</v>
      </c>
      <c r="G146" s="3">
        <v>0</v>
      </c>
      <c r="H146" s="3">
        <v>161</v>
      </c>
      <c r="I146" s="3">
        <v>0</v>
      </c>
      <c r="J146" s="3">
        <v>0</v>
      </c>
      <c r="K146" s="3">
        <v>1</v>
      </c>
      <c r="L146" s="3">
        <v>1</v>
      </c>
      <c r="M146" s="3">
        <v>7</v>
      </c>
      <c r="N146" s="3">
        <v>1</v>
      </c>
      <c r="O146" s="7">
        <f t="shared" si="13"/>
        <v>0.91328047199999851</v>
      </c>
      <c r="P146" s="7">
        <f t="shared" si="14"/>
        <v>0.71367097946190217</v>
      </c>
      <c r="Q146" s="7">
        <f t="shared" si="15"/>
        <v>1</v>
      </c>
      <c r="R146" s="3">
        <f t="shared" si="16"/>
        <v>0</v>
      </c>
      <c r="S146" s="3">
        <f t="shared" si="17"/>
        <v>0.71367097946190217</v>
      </c>
      <c r="T146" s="3">
        <f t="shared" si="18"/>
        <v>-0.33733323592809672</v>
      </c>
    </row>
    <row r="147" spans="1:20" x14ac:dyDescent="0.25">
      <c r="A147" s="3">
        <v>58</v>
      </c>
      <c r="B147" s="3">
        <v>0</v>
      </c>
      <c r="C147" s="3">
        <v>4</v>
      </c>
      <c r="D147" s="3">
        <v>170</v>
      </c>
      <c r="E147" s="3">
        <v>225</v>
      </c>
      <c r="F147" s="3">
        <v>1</v>
      </c>
      <c r="G147" s="3">
        <v>2</v>
      </c>
      <c r="H147" s="3">
        <v>146</v>
      </c>
      <c r="I147" s="3">
        <v>1</v>
      </c>
      <c r="J147" s="3">
        <v>2.8</v>
      </c>
      <c r="K147" s="3">
        <v>2</v>
      </c>
      <c r="L147" s="3">
        <v>2</v>
      </c>
      <c r="M147" s="3">
        <v>6</v>
      </c>
      <c r="N147" s="3">
        <v>1</v>
      </c>
      <c r="O147" s="7">
        <f t="shared" si="13"/>
        <v>4.3926874220000016</v>
      </c>
      <c r="P147" s="7">
        <f t="shared" si="14"/>
        <v>0.98778363726218688</v>
      </c>
      <c r="Q147" s="7">
        <f t="shared" si="15"/>
        <v>1</v>
      </c>
      <c r="R147" s="3">
        <f t="shared" si="16"/>
        <v>0</v>
      </c>
      <c r="S147" s="3">
        <f t="shared" si="17"/>
        <v>0.98778363726218688</v>
      </c>
      <c r="T147" s="3">
        <f t="shared" si="18"/>
        <v>-1.2291595841534431E-2</v>
      </c>
    </row>
    <row r="148" spans="1:20" x14ac:dyDescent="0.25">
      <c r="A148" s="3">
        <v>55</v>
      </c>
      <c r="B148" s="3">
        <v>0</v>
      </c>
      <c r="C148" s="3">
        <v>2</v>
      </c>
      <c r="D148" s="3">
        <v>132</v>
      </c>
      <c r="E148" s="3">
        <v>342</v>
      </c>
      <c r="F148" s="3">
        <v>0</v>
      </c>
      <c r="G148" s="3">
        <v>0</v>
      </c>
      <c r="H148" s="3">
        <v>166</v>
      </c>
      <c r="I148" s="3">
        <v>0</v>
      </c>
      <c r="J148" s="3">
        <v>1.2</v>
      </c>
      <c r="K148" s="3">
        <v>1</v>
      </c>
      <c r="L148" s="3">
        <v>0</v>
      </c>
      <c r="M148" s="3">
        <v>3</v>
      </c>
      <c r="N148" s="3">
        <v>0</v>
      </c>
      <c r="O148" s="7">
        <f t="shared" si="13"/>
        <v>-4.2006485970000007</v>
      </c>
      <c r="P148" s="7">
        <f t="shared" si="14"/>
        <v>1.4764593841786099E-2</v>
      </c>
      <c r="Q148" s="7">
        <f t="shared" si="15"/>
        <v>0</v>
      </c>
      <c r="R148" s="3">
        <f t="shared" si="16"/>
        <v>0</v>
      </c>
      <c r="S148" s="3">
        <f t="shared" si="17"/>
        <v>0.98523540615821392</v>
      </c>
      <c r="T148" s="3">
        <f t="shared" si="18"/>
        <v>-1.4874675340286098E-2</v>
      </c>
    </row>
    <row r="149" spans="1:20" x14ac:dyDescent="0.25">
      <c r="A149" s="3">
        <v>44</v>
      </c>
      <c r="B149" s="3">
        <v>1</v>
      </c>
      <c r="C149" s="3">
        <v>4</v>
      </c>
      <c r="D149" s="3">
        <v>120</v>
      </c>
      <c r="E149" s="3">
        <v>169</v>
      </c>
      <c r="F149" s="3">
        <v>0</v>
      </c>
      <c r="G149" s="3">
        <v>0</v>
      </c>
      <c r="H149" s="3">
        <v>144</v>
      </c>
      <c r="I149" s="3">
        <v>1</v>
      </c>
      <c r="J149" s="3">
        <v>2.8</v>
      </c>
      <c r="K149" s="3">
        <v>3</v>
      </c>
      <c r="L149" s="3">
        <v>0</v>
      </c>
      <c r="M149" s="3">
        <v>6</v>
      </c>
      <c r="N149" s="3">
        <v>1</v>
      </c>
      <c r="O149" s="7">
        <f t="shared" si="13"/>
        <v>1.8859522969999993</v>
      </c>
      <c r="P149" s="7">
        <f t="shared" si="14"/>
        <v>0.86829332479807919</v>
      </c>
      <c r="Q149" s="7">
        <f t="shared" si="15"/>
        <v>1</v>
      </c>
      <c r="R149" s="3">
        <f t="shared" si="16"/>
        <v>0</v>
      </c>
      <c r="S149" s="3">
        <f t="shared" si="17"/>
        <v>0.86829332479807919</v>
      </c>
      <c r="T149" s="3">
        <f t="shared" si="18"/>
        <v>-0.14122568961285337</v>
      </c>
    </row>
    <row r="150" spans="1:20" x14ac:dyDescent="0.25">
      <c r="A150" s="3">
        <v>59</v>
      </c>
      <c r="B150" s="3">
        <v>1</v>
      </c>
      <c r="C150" s="3">
        <v>4</v>
      </c>
      <c r="D150" s="3">
        <v>164</v>
      </c>
      <c r="E150" s="3">
        <v>176</v>
      </c>
      <c r="F150" s="3">
        <v>1</v>
      </c>
      <c r="G150" s="3">
        <v>2</v>
      </c>
      <c r="H150" s="3">
        <v>90</v>
      </c>
      <c r="I150" s="3">
        <v>0</v>
      </c>
      <c r="J150" s="3">
        <v>1</v>
      </c>
      <c r="K150" s="3">
        <v>2</v>
      </c>
      <c r="L150" s="3">
        <v>2</v>
      </c>
      <c r="M150" s="3">
        <v>6</v>
      </c>
      <c r="N150" s="3">
        <v>1</v>
      </c>
      <c r="O150" s="7">
        <f t="shared" si="13"/>
        <v>5.02351101</v>
      </c>
      <c r="P150" s="7">
        <f t="shared" si="14"/>
        <v>0.99346165253145702</v>
      </c>
      <c r="Q150" s="7">
        <f t="shared" si="15"/>
        <v>1</v>
      </c>
      <c r="R150" s="3">
        <f t="shared" si="16"/>
        <v>0</v>
      </c>
      <c r="S150" s="3">
        <f t="shared" si="17"/>
        <v>0.99346165253145702</v>
      </c>
      <c r="T150" s="3">
        <f t="shared" si="18"/>
        <v>-6.5598160930704285E-3</v>
      </c>
    </row>
    <row r="151" spans="1:20" x14ac:dyDescent="0.25">
      <c r="A151" s="3">
        <v>57</v>
      </c>
      <c r="B151" s="3">
        <v>1</v>
      </c>
      <c r="C151" s="3">
        <v>4</v>
      </c>
      <c r="D151" s="3">
        <v>130</v>
      </c>
      <c r="E151" s="3">
        <v>131</v>
      </c>
      <c r="F151" s="3">
        <v>0</v>
      </c>
      <c r="G151" s="3">
        <v>0</v>
      </c>
      <c r="H151" s="3">
        <v>115</v>
      </c>
      <c r="I151" s="3">
        <v>1</v>
      </c>
      <c r="J151" s="3">
        <v>1.2</v>
      </c>
      <c r="K151" s="3">
        <v>2</v>
      </c>
      <c r="L151" s="3">
        <v>1</v>
      </c>
      <c r="M151" s="3">
        <v>7</v>
      </c>
      <c r="N151" s="3">
        <v>1</v>
      </c>
      <c r="O151" s="7">
        <f t="shared" si="13"/>
        <v>3.0535995449999991</v>
      </c>
      <c r="P151" s="7">
        <f t="shared" si="14"/>
        <v>0.95493767499877347</v>
      </c>
      <c r="Q151" s="7">
        <f t="shared" si="15"/>
        <v>1</v>
      </c>
      <c r="R151" s="3">
        <f t="shared" si="16"/>
        <v>0</v>
      </c>
      <c r="S151" s="3">
        <f t="shared" si="17"/>
        <v>0.95493767499877347</v>
      </c>
      <c r="T151" s="3">
        <f t="shared" si="18"/>
        <v>-4.6109202412438557E-2</v>
      </c>
    </row>
    <row r="152" spans="1:20" x14ac:dyDescent="0.25">
      <c r="A152" s="3">
        <v>63</v>
      </c>
      <c r="B152" s="3">
        <v>1</v>
      </c>
      <c r="C152" s="3">
        <v>4</v>
      </c>
      <c r="D152" s="3">
        <v>130</v>
      </c>
      <c r="E152" s="3">
        <v>254</v>
      </c>
      <c r="F152" s="3">
        <v>0</v>
      </c>
      <c r="G152" s="3">
        <v>2</v>
      </c>
      <c r="H152" s="3">
        <v>147</v>
      </c>
      <c r="I152" s="3">
        <v>0</v>
      </c>
      <c r="J152" s="3">
        <v>1.4</v>
      </c>
      <c r="K152" s="3">
        <v>2</v>
      </c>
      <c r="L152" s="3">
        <v>1</v>
      </c>
      <c r="M152" s="3">
        <v>7</v>
      </c>
      <c r="N152" s="3">
        <v>1</v>
      </c>
      <c r="O152" s="7">
        <f t="shared" si="13"/>
        <v>2.408277146999998</v>
      </c>
      <c r="P152" s="7">
        <f t="shared" si="14"/>
        <v>0.91745630361261976</v>
      </c>
      <c r="Q152" s="7">
        <f t="shared" si="15"/>
        <v>1</v>
      </c>
      <c r="R152" s="3">
        <f t="shared" si="16"/>
        <v>0</v>
      </c>
      <c r="S152" s="3">
        <f t="shared" si="17"/>
        <v>0.91745630361261976</v>
      </c>
      <c r="T152" s="3">
        <f t="shared" si="18"/>
        <v>-8.6150325677874076E-2</v>
      </c>
    </row>
    <row r="153" spans="1:20" x14ac:dyDescent="0.25">
      <c r="A153" s="3">
        <v>44</v>
      </c>
      <c r="B153" s="3">
        <v>1</v>
      </c>
      <c r="C153" s="3">
        <v>2</v>
      </c>
      <c r="D153" s="3">
        <v>120</v>
      </c>
      <c r="E153" s="3">
        <v>263</v>
      </c>
      <c r="F153" s="3">
        <v>0</v>
      </c>
      <c r="G153" s="3">
        <v>0</v>
      </c>
      <c r="H153" s="3">
        <v>173</v>
      </c>
      <c r="I153" s="3">
        <v>0</v>
      </c>
      <c r="J153" s="3">
        <v>0</v>
      </c>
      <c r="K153" s="3">
        <v>1</v>
      </c>
      <c r="L153" s="3">
        <v>0</v>
      </c>
      <c r="M153" s="3">
        <v>7</v>
      </c>
      <c r="N153" s="3">
        <v>0</v>
      </c>
      <c r="O153" s="7">
        <f t="shared" si="13"/>
        <v>-2.9400400600000012</v>
      </c>
      <c r="P153" s="7">
        <f t="shared" si="14"/>
        <v>5.0209362759234433E-2</v>
      </c>
      <c r="Q153" s="7">
        <f t="shared" si="15"/>
        <v>0</v>
      </c>
      <c r="R153" s="3">
        <f t="shared" si="16"/>
        <v>0</v>
      </c>
      <c r="S153" s="3">
        <f t="shared" si="17"/>
        <v>0.94979063724076562</v>
      </c>
      <c r="T153" s="3">
        <f t="shared" si="18"/>
        <v>-5.151370052702494E-2</v>
      </c>
    </row>
    <row r="154" spans="1:20" x14ac:dyDescent="0.25">
      <c r="A154" s="3">
        <v>58</v>
      </c>
      <c r="B154" s="3">
        <v>0</v>
      </c>
      <c r="C154" s="3">
        <v>3</v>
      </c>
      <c r="D154" s="3">
        <v>120</v>
      </c>
      <c r="E154" s="3">
        <v>340</v>
      </c>
      <c r="F154" s="3">
        <v>0</v>
      </c>
      <c r="G154" s="3">
        <v>0</v>
      </c>
      <c r="H154" s="3">
        <v>172</v>
      </c>
      <c r="I154" s="3">
        <v>0</v>
      </c>
      <c r="J154" s="3">
        <v>0</v>
      </c>
      <c r="K154" s="3">
        <v>1</v>
      </c>
      <c r="L154" s="3">
        <v>0</v>
      </c>
      <c r="M154" s="3">
        <v>3</v>
      </c>
      <c r="N154" s="3">
        <v>0</v>
      </c>
      <c r="O154" s="7">
        <f t="shared" si="13"/>
        <v>-4.175652781000001</v>
      </c>
      <c r="P154" s="7">
        <f t="shared" si="14"/>
        <v>1.5132642844427214E-2</v>
      </c>
      <c r="Q154" s="7">
        <f t="shared" si="15"/>
        <v>0</v>
      </c>
      <c r="R154" s="3">
        <f t="shared" si="16"/>
        <v>0</v>
      </c>
      <c r="S154" s="3">
        <f t="shared" si="17"/>
        <v>0.98486735715557283</v>
      </c>
      <c r="T154" s="3">
        <f t="shared" si="18"/>
        <v>-1.5248309664115721E-2</v>
      </c>
    </row>
    <row r="155" spans="1:20" x14ac:dyDescent="0.25">
      <c r="A155" s="3">
        <v>66</v>
      </c>
      <c r="B155" s="3">
        <v>0</v>
      </c>
      <c r="C155" s="3">
        <v>1</v>
      </c>
      <c r="D155" s="3">
        <v>150</v>
      </c>
      <c r="E155" s="3">
        <v>226</v>
      </c>
      <c r="F155" s="3">
        <v>0</v>
      </c>
      <c r="G155" s="3">
        <v>0</v>
      </c>
      <c r="H155" s="3">
        <v>114</v>
      </c>
      <c r="I155" s="3">
        <v>0</v>
      </c>
      <c r="J155" s="3">
        <v>2.6</v>
      </c>
      <c r="K155" s="3">
        <v>3</v>
      </c>
      <c r="L155" s="3">
        <v>0</v>
      </c>
      <c r="M155" s="3">
        <v>3</v>
      </c>
      <c r="N155" s="3">
        <v>0</v>
      </c>
      <c r="O155" s="7">
        <f t="shared" si="13"/>
        <v>-1.7587208880000009</v>
      </c>
      <c r="P155" s="7">
        <f t="shared" si="14"/>
        <v>0.14695061193191075</v>
      </c>
      <c r="Q155" s="7">
        <f t="shared" si="15"/>
        <v>0</v>
      </c>
      <c r="R155" s="3">
        <f t="shared" si="16"/>
        <v>0</v>
      </c>
      <c r="S155" s="3">
        <f t="shared" si="17"/>
        <v>0.85304938806808928</v>
      </c>
      <c r="T155" s="3">
        <f t="shared" si="18"/>
        <v>-0.1589378339073651</v>
      </c>
    </row>
    <row r="156" spans="1:20" x14ac:dyDescent="0.25">
      <c r="A156" s="3">
        <v>64</v>
      </c>
      <c r="B156" s="3">
        <v>1</v>
      </c>
      <c r="C156" s="3">
        <v>3</v>
      </c>
      <c r="D156" s="3">
        <v>140</v>
      </c>
      <c r="E156" s="3">
        <v>335</v>
      </c>
      <c r="F156" s="3">
        <v>0</v>
      </c>
      <c r="G156" s="3">
        <v>0</v>
      </c>
      <c r="H156" s="3">
        <v>158</v>
      </c>
      <c r="I156" s="3">
        <v>0</v>
      </c>
      <c r="J156" s="3">
        <v>0</v>
      </c>
      <c r="K156" s="3">
        <v>1</v>
      </c>
      <c r="L156" s="3">
        <v>0</v>
      </c>
      <c r="M156" s="3">
        <v>3</v>
      </c>
      <c r="N156" s="3">
        <v>1</v>
      </c>
      <c r="O156" s="7">
        <f t="shared" si="13"/>
        <v>-2.4310837749999994</v>
      </c>
      <c r="P156" s="7">
        <f t="shared" si="14"/>
        <v>8.0832907283573438E-2</v>
      </c>
      <c r="Q156" s="7">
        <f t="shared" si="15"/>
        <v>0</v>
      </c>
      <c r="R156" s="3">
        <f t="shared" si="16"/>
        <v>1</v>
      </c>
      <c r="S156" s="3">
        <f t="shared" si="17"/>
        <v>8.0832907283573438E-2</v>
      </c>
      <c r="T156" s="3">
        <f t="shared" si="18"/>
        <v>-2.5153711280052784</v>
      </c>
    </row>
    <row r="157" spans="1:20" x14ac:dyDescent="0.25">
      <c r="A157" s="3">
        <v>57</v>
      </c>
      <c r="B157" s="3">
        <v>1</v>
      </c>
      <c r="C157" s="3">
        <v>4</v>
      </c>
      <c r="D157" s="3">
        <v>150</v>
      </c>
      <c r="E157" s="3">
        <v>276</v>
      </c>
      <c r="F157" s="3">
        <v>0</v>
      </c>
      <c r="G157" s="3">
        <v>2</v>
      </c>
      <c r="H157" s="3">
        <v>112</v>
      </c>
      <c r="I157" s="3">
        <v>1</v>
      </c>
      <c r="J157" s="3">
        <v>0.6</v>
      </c>
      <c r="K157" s="3">
        <v>2</v>
      </c>
      <c r="L157" s="3">
        <v>1</v>
      </c>
      <c r="M157" s="3">
        <v>6</v>
      </c>
      <c r="N157" s="3">
        <v>1</v>
      </c>
      <c r="O157" s="7">
        <f t="shared" si="13"/>
        <v>4.1306619079999987</v>
      </c>
      <c r="P157" s="7">
        <f t="shared" si="14"/>
        <v>0.98418199378530946</v>
      </c>
      <c r="Q157" s="7">
        <f t="shared" si="15"/>
        <v>1</v>
      </c>
      <c r="R157" s="3">
        <f t="shared" si="16"/>
        <v>0</v>
      </c>
      <c r="S157" s="3">
        <f t="shared" si="17"/>
        <v>0.98418199378530946</v>
      </c>
      <c r="T157" s="3">
        <f t="shared" si="18"/>
        <v>-1.5944445997736274E-2</v>
      </c>
    </row>
    <row r="158" spans="1:20" x14ac:dyDescent="0.25">
      <c r="A158" s="3">
        <v>40</v>
      </c>
      <c r="B158" s="3">
        <v>1</v>
      </c>
      <c r="C158" s="3">
        <v>1</v>
      </c>
      <c r="D158" s="3">
        <v>140</v>
      </c>
      <c r="E158" s="3">
        <v>199</v>
      </c>
      <c r="F158" s="3">
        <v>0</v>
      </c>
      <c r="G158" s="3">
        <v>0</v>
      </c>
      <c r="H158" s="3">
        <v>178</v>
      </c>
      <c r="I158" s="3">
        <v>1</v>
      </c>
      <c r="J158" s="3">
        <v>1.4</v>
      </c>
      <c r="K158" s="3">
        <v>1</v>
      </c>
      <c r="L158" s="3">
        <v>0</v>
      </c>
      <c r="M158" s="3">
        <v>7</v>
      </c>
      <c r="N158" s="3">
        <v>0</v>
      </c>
      <c r="O158" s="7">
        <f t="shared" si="13"/>
        <v>-2.323210608000001</v>
      </c>
      <c r="P158" s="7">
        <f t="shared" si="14"/>
        <v>8.9218824789745174E-2</v>
      </c>
      <c r="Q158" s="7">
        <f t="shared" si="15"/>
        <v>0</v>
      </c>
      <c r="R158" s="3">
        <f t="shared" si="16"/>
        <v>0</v>
      </c>
      <c r="S158" s="3">
        <f t="shared" si="17"/>
        <v>0.91078117521025481</v>
      </c>
      <c r="T158" s="3">
        <f t="shared" si="18"/>
        <v>-9.345261341825202E-2</v>
      </c>
    </row>
    <row r="159" spans="1:20" x14ac:dyDescent="0.25">
      <c r="A159" s="3">
        <v>41</v>
      </c>
      <c r="B159" s="3">
        <v>0</v>
      </c>
      <c r="C159" s="3">
        <v>2</v>
      </c>
      <c r="D159" s="3">
        <v>105</v>
      </c>
      <c r="E159" s="3">
        <v>198</v>
      </c>
      <c r="F159" s="3">
        <v>0</v>
      </c>
      <c r="G159" s="3">
        <v>0</v>
      </c>
      <c r="H159" s="3">
        <v>168</v>
      </c>
      <c r="I159" s="3">
        <v>0</v>
      </c>
      <c r="J159" s="3">
        <v>0</v>
      </c>
      <c r="K159" s="3">
        <v>1</v>
      </c>
      <c r="L159" s="3">
        <v>1</v>
      </c>
      <c r="M159" s="3">
        <v>3</v>
      </c>
      <c r="N159" s="3">
        <v>0</v>
      </c>
      <c r="O159" s="7">
        <f t="shared" si="13"/>
        <v>-4.1430834600000015</v>
      </c>
      <c r="P159" s="7">
        <f t="shared" si="14"/>
        <v>1.5625788540739802E-2</v>
      </c>
      <c r="Q159" s="7">
        <f t="shared" si="15"/>
        <v>0</v>
      </c>
      <c r="R159" s="3">
        <f t="shared" si="16"/>
        <v>0</v>
      </c>
      <c r="S159" s="3">
        <f t="shared" si="17"/>
        <v>0.98437421145926018</v>
      </c>
      <c r="T159" s="3">
        <f t="shared" si="18"/>
        <v>-1.5749158025719509E-2</v>
      </c>
    </row>
    <row r="160" spans="1:20" x14ac:dyDescent="0.25">
      <c r="A160" s="3">
        <v>65</v>
      </c>
      <c r="B160" s="3">
        <v>1</v>
      </c>
      <c r="C160" s="3">
        <v>4</v>
      </c>
      <c r="D160" s="3">
        <v>120</v>
      </c>
      <c r="E160" s="3">
        <v>177</v>
      </c>
      <c r="F160" s="3">
        <v>0</v>
      </c>
      <c r="G160" s="3">
        <v>0</v>
      </c>
      <c r="H160" s="3">
        <v>140</v>
      </c>
      <c r="I160" s="3">
        <v>0</v>
      </c>
      <c r="J160" s="3">
        <v>0.4</v>
      </c>
      <c r="K160" s="3">
        <v>1</v>
      </c>
      <c r="L160" s="3">
        <v>0</v>
      </c>
      <c r="M160" s="3">
        <v>7</v>
      </c>
      <c r="N160" s="3">
        <v>0</v>
      </c>
      <c r="O160" s="7">
        <f t="shared" si="13"/>
        <v>-0.93388476500000017</v>
      </c>
      <c r="P160" s="7">
        <f t="shared" si="14"/>
        <v>0.28213724496131853</v>
      </c>
      <c r="Q160" s="7">
        <f t="shared" si="15"/>
        <v>0</v>
      </c>
      <c r="R160" s="3">
        <f t="shared" si="16"/>
        <v>0</v>
      </c>
      <c r="S160" s="3">
        <f t="shared" si="17"/>
        <v>0.71786275503868147</v>
      </c>
      <c r="T160" s="3">
        <f t="shared" si="18"/>
        <v>-0.33147687717640156</v>
      </c>
    </row>
    <row r="161" spans="1:20" x14ac:dyDescent="0.25">
      <c r="A161" s="3">
        <v>41</v>
      </c>
      <c r="B161" s="3">
        <v>1</v>
      </c>
      <c r="C161" s="3">
        <v>4</v>
      </c>
      <c r="D161" s="3">
        <v>110</v>
      </c>
      <c r="E161" s="3">
        <v>172</v>
      </c>
      <c r="F161" s="3">
        <v>0</v>
      </c>
      <c r="G161" s="3">
        <v>2</v>
      </c>
      <c r="H161" s="3">
        <v>158</v>
      </c>
      <c r="I161" s="3">
        <v>0</v>
      </c>
      <c r="J161" s="3">
        <v>0</v>
      </c>
      <c r="K161" s="3">
        <v>1</v>
      </c>
      <c r="L161" s="3">
        <v>0</v>
      </c>
      <c r="M161" s="3">
        <v>7</v>
      </c>
      <c r="N161" s="3">
        <v>1</v>
      </c>
      <c r="O161" s="7">
        <f t="shared" si="13"/>
        <v>-0.97858868199999982</v>
      </c>
      <c r="P161" s="7">
        <f t="shared" si="14"/>
        <v>0.27317190973880917</v>
      </c>
      <c r="Q161" s="7">
        <f t="shared" si="15"/>
        <v>0</v>
      </c>
      <c r="R161" s="3">
        <f t="shared" si="16"/>
        <v>1</v>
      </c>
      <c r="S161" s="3">
        <f t="shared" si="17"/>
        <v>0.27317190973880917</v>
      </c>
      <c r="T161" s="3">
        <f t="shared" si="18"/>
        <v>-1.2976539759758454</v>
      </c>
    </row>
    <row r="162" spans="1:20" x14ac:dyDescent="0.25">
      <c r="A162" s="3">
        <v>60</v>
      </c>
      <c r="B162" s="3">
        <v>1</v>
      </c>
      <c r="C162" s="3">
        <v>4</v>
      </c>
      <c r="D162" s="3">
        <v>145</v>
      </c>
      <c r="E162" s="3">
        <v>282</v>
      </c>
      <c r="F162" s="3">
        <v>0</v>
      </c>
      <c r="G162" s="3">
        <v>2</v>
      </c>
      <c r="H162" s="3">
        <v>142</v>
      </c>
      <c r="I162" s="3">
        <v>1</v>
      </c>
      <c r="J162" s="3">
        <v>2.8</v>
      </c>
      <c r="K162" s="3">
        <v>2</v>
      </c>
      <c r="L162" s="3">
        <v>2</v>
      </c>
      <c r="M162" s="3">
        <v>7</v>
      </c>
      <c r="N162" s="3">
        <v>1</v>
      </c>
      <c r="O162" s="7">
        <f t="shared" si="13"/>
        <v>5.5348025979999989</v>
      </c>
      <c r="P162" s="7">
        <f t="shared" si="14"/>
        <v>0.99606852976232352</v>
      </c>
      <c r="Q162" s="7">
        <f t="shared" si="15"/>
        <v>1</v>
      </c>
      <c r="R162" s="3">
        <f t="shared" si="16"/>
        <v>0</v>
      </c>
      <c r="S162" s="3">
        <f t="shared" si="17"/>
        <v>0.99606852976232352</v>
      </c>
      <c r="T162" s="3">
        <f t="shared" si="18"/>
        <v>-3.9392187822405098E-3</v>
      </c>
    </row>
    <row r="163" spans="1:20" x14ac:dyDescent="0.25">
      <c r="A163" s="3">
        <v>46</v>
      </c>
      <c r="B163" s="3">
        <v>1</v>
      </c>
      <c r="C163" s="3">
        <v>3</v>
      </c>
      <c r="D163" s="3">
        <v>150</v>
      </c>
      <c r="E163" s="3">
        <v>231</v>
      </c>
      <c r="F163" s="3">
        <v>0</v>
      </c>
      <c r="G163" s="3">
        <v>0</v>
      </c>
      <c r="H163" s="3">
        <v>147</v>
      </c>
      <c r="I163" s="3">
        <v>0</v>
      </c>
      <c r="J163" s="3">
        <v>3.6</v>
      </c>
      <c r="K163" s="3">
        <v>2</v>
      </c>
      <c r="L163" s="3">
        <v>0</v>
      </c>
      <c r="M163" s="3">
        <v>3</v>
      </c>
      <c r="N163" s="3">
        <v>1</v>
      </c>
      <c r="O163" s="7">
        <f t="shared" si="13"/>
        <v>-0.26912514999999892</v>
      </c>
      <c r="P163" s="7">
        <f t="shared" si="14"/>
        <v>0.43312188202759211</v>
      </c>
      <c r="Q163" s="7">
        <f t="shared" si="15"/>
        <v>0</v>
      </c>
      <c r="R163" s="3">
        <f t="shared" si="16"/>
        <v>1</v>
      </c>
      <c r="S163" s="3">
        <f t="shared" si="17"/>
        <v>0.43312188202759211</v>
      </c>
      <c r="T163" s="3">
        <f t="shared" si="18"/>
        <v>-0.8367361078457749</v>
      </c>
    </row>
    <row r="164" spans="1:20" x14ac:dyDescent="0.25">
      <c r="A164" s="3">
        <v>67</v>
      </c>
      <c r="B164" s="3">
        <v>1</v>
      </c>
      <c r="C164" s="3">
        <v>4</v>
      </c>
      <c r="D164" s="3">
        <v>125</v>
      </c>
      <c r="E164" s="3">
        <v>254</v>
      </c>
      <c r="F164" s="3">
        <v>1</v>
      </c>
      <c r="G164" s="3">
        <v>0</v>
      </c>
      <c r="H164" s="3">
        <v>163</v>
      </c>
      <c r="I164" s="3">
        <v>0</v>
      </c>
      <c r="J164" s="3">
        <v>0.2</v>
      </c>
      <c r="K164" s="3">
        <v>2</v>
      </c>
      <c r="L164" s="3">
        <v>2</v>
      </c>
      <c r="M164" s="3">
        <v>7</v>
      </c>
      <c r="N164" s="3">
        <v>1</v>
      </c>
      <c r="O164" s="7">
        <f t="shared" si="13"/>
        <v>2.0272159629999962</v>
      </c>
      <c r="P164" s="7">
        <f t="shared" si="14"/>
        <v>0.88362509605583361</v>
      </c>
      <c r="Q164" s="7">
        <f t="shared" si="15"/>
        <v>1</v>
      </c>
      <c r="R164" s="3">
        <f t="shared" si="16"/>
        <v>0</v>
      </c>
      <c r="S164" s="3">
        <f t="shared" si="17"/>
        <v>0.88362509605583361</v>
      </c>
      <c r="T164" s="3">
        <f t="shared" si="18"/>
        <v>-0.12372240578446536</v>
      </c>
    </row>
    <row r="165" spans="1:20" x14ac:dyDescent="0.25">
      <c r="A165" s="3">
        <v>58</v>
      </c>
      <c r="B165" s="3">
        <v>1</v>
      </c>
      <c r="C165" s="3">
        <v>4</v>
      </c>
      <c r="D165" s="3">
        <v>150</v>
      </c>
      <c r="E165" s="3">
        <v>270</v>
      </c>
      <c r="F165" s="3">
        <v>0</v>
      </c>
      <c r="G165" s="3">
        <v>2</v>
      </c>
      <c r="H165" s="3">
        <v>111</v>
      </c>
      <c r="I165" s="3">
        <v>1</v>
      </c>
      <c r="J165" s="3">
        <v>0.8</v>
      </c>
      <c r="K165" s="3">
        <v>1</v>
      </c>
      <c r="L165" s="3">
        <v>0</v>
      </c>
      <c r="M165" s="3">
        <v>7</v>
      </c>
      <c r="N165" s="3">
        <v>1</v>
      </c>
      <c r="O165" s="7">
        <f t="shared" si="13"/>
        <v>2.2115893769999975</v>
      </c>
      <c r="P165" s="7">
        <f t="shared" si="14"/>
        <v>0.90128542392329514</v>
      </c>
      <c r="Q165" s="7">
        <f t="shared" si="15"/>
        <v>1</v>
      </c>
      <c r="R165" s="3">
        <f t="shared" si="16"/>
        <v>0</v>
      </c>
      <c r="S165" s="3">
        <f t="shared" si="17"/>
        <v>0.90128542392329514</v>
      </c>
      <c r="T165" s="3">
        <f t="shared" si="18"/>
        <v>-0.1039332858313677</v>
      </c>
    </row>
    <row r="166" spans="1:20" x14ac:dyDescent="0.25">
      <c r="A166" s="3">
        <v>45</v>
      </c>
      <c r="B166" s="3">
        <v>1</v>
      </c>
      <c r="C166" s="3">
        <v>4</v>
      </c>
      <c r="D166" s="3">
        <v>104</v>
      </c>
      <c r="E166" s="3">
        <v>208</v>
      </c>
      <c r="F166" s="3">
        <v>0</v>
      </c>
      <c r="G166" s="3">
        <v>2</v>
      </c>
      <c r="H166" s="3">
        <v>148</v>
      </c>
      <c r="I166" s="3">
        <v>1</v>
      </c>
      <c r="J166" s="3">
        <v>3</v>
      </c>
      <c r="K166" s="3">
        <v>2</v>
      </c>
      <c r="L166" s="3">
        <v>0</v>
      </c>
      <c r="M166" s="3">
        <v>3</v>
      </c>
      <c r="N166" s="3">
        <v>0</v>
      </c>
      <c r="O166" s="7">
        <f t="shared" si="13"/>
        <v>0.14878932999999961</v>
      </c>
      <c r="P166" s="7">
        <f t="shared" si="14"/>
        <v>0.53712886038190755</v>
      </c>
      <c r="Q166" s="7">
        <f t="shared" si="15"/>
        <v>1</v>
      </c>
      <c r="R166" s="3">
        <f t="shared" si="16"/>
        <v>1</v>
      </c>
      <c r="S166" s="3">
        <f t="shared" si="17"/>
        <v>0.46287113961809245</v>
      </c>
      <c r="T166" s="3">
        <f t="shared" si="18"/>
        <v>-0.77030657979266048</v>
      </c>
    </row>
    <row r="167" spans="1:20" x14ac:dyDescent="0.25">
      <c r="A167" s="3">
        <v>53</v>
      </c>
      <c r="B167" s="3">
        <v>0</v>
      </c>
      <c r="C167" s="3">
        <v>4</v>
      </c>
      <c r="D167" s="3">
        <v>130</v>
      </c>
      <c r="E167" s="3">
        <v>264</v>
      </c>
      <c r="F167" s="3">
        <v>0</v>
      </c>
      <c r="G167" s="3">
        <v>2</v>
      </c>
      <c r="H167" s="3">
        <v>143</v>
      </c>
      <c r="I167" s="3">
        <v>0</v>
      </c>
      <c r="J167" s="3">
        <v>0.4</v>
      </c>
      <c r="K167" s="3">
        <v>2</v>
      </c>
      <c r="L167" s="3">
        <v>0</v>
      </c>
      <c r="M167" s="3">
        <v>3</v>
      </c>
      <c r="N167" s="3">
        <v>0</v>
      </c>
      <c r="O167" s="7">
        <f t="shared" si="13"/>
        <v>-1.127133564000002</v>
      </c>
      <c r="P167" s="7">
        <f t="shared" si="14"/>
        <v>0.24469047937027721</v>
      </c>
      <c r="Q167" s="7">
        <f t="shared" si="15"/>
        <v>0</v>
      </c>
      <c r="R167" s="3">
        <f t="shared" si="16"/>
        <v>0</v>
      </c>
      <c r="S167" s="3">
        <f t="shared" si="17"/>
        <v>0.75530952062972279</v>
      </c>
      <c r="T167" s="3">
        <f t="shared" si="18"/>
        <v>-0.28062765264523304</v>
      </c>
    </row>
    <row r="168" spans="1:20" x14ac:dyDescent="0.25">
      <c r="A168" s="3">
        <v>47</v>
      </c>
      <c r="B168" s="3">
        <v>1</v>
      </c>
      <c r="C168" s="3">
        <v>3</v>
      </c>
      <c r="D168" s="3">
        <v>138</v>
      </c>
      <c r="E168" s="3">
        <v>257</v>
      </c>
      <c r="F168" s="3">
        <v>0</v>
      </c>
      <c r="G168" s="3">
        <v>2</v>
      </c>
      <c r="H168" s="3">
        <v>156</v>
      </c>
      <c r="I168" s="3">
        <v>0</v>
      </c>
      <c r="J168" s="3">
        <v>0</v>
      </c>
      <c r="K168" s="3">
        <v>1</v>
      </c>
      <c r="L168" s="3">
        <v>0</v>
      </c>
      <c r="M168" s="3">
        <v>3</v>
      </c>
      <c r="N168" s="3">
        <v>0</v>
      </c>
      <c r="O168" s="7">
        <f t="shared" si="13"/>
        <v>-1.974492166000001</v>
      </c>
      <c r="P168" s="7">
        <f t="shared" si="14"/>
        <v>0.12190720184765931</v>
      </c>
      <c r="Q168" s="7">
        <f t="shared" si="15"/>
        <v>0</v>
      </c>
      <c r="R168" s="3">
        <f t="shared" si="16"/>
        <v>0</v>
      </c>
      <c r="S168" s="3">
        <f t="shared" si="17"/>
        <v>0.87809279815234065</v>
      </c>
      <c r="T168" s="3">
        <f t="shared" si="18"/>
        <v>-0.13000299827567124</v>
      </c>
    </row>
    <row r="169" spans="1:20" x14ac:dyDescent="0.25">
      <c r="A169" s="3">
        <v>51</v>
      </c>
      <c r="B169" s="3">
        <v>0</v>
      </c>
      <c r="C169" s="3">
        <v>3</v>
      </c>
      <c r="D169" s="3">
        <v>130</v>
      </c>
      <c r="E169" s="3">
        <v>256</v>
      </c>
      <c r="F169" s="3">
        <v>0</v>
      </c>
      <c r="G169" s="3">
        <v>2</v>
      </c>
      <c r="H169" s="3">
        <v>149</v>
      </c>
      <c r="I169" s="3">
        <v>0</v>
      </c>
      <c r="J169" s="3">
        <v>0.5</v>
      </c>
      <c r="K169" s="3">
        <v>1</v>
      </c>
      <c r="L169" s="3">
        <v>0</v>
      </c>
      <c r="M169" s="3">
        <v>3</v>
      </c>
      <c r="N169" s="3">
        <v>0</v>
      </c>
      <c r="O169" s="7">
        <f t="shared" si="13"/>
        <v>-2.9190110185</v>
      </c>
      <c r="P169" s="7">
        <f t="shared" si="14"/>
        <v>5.1221742188278088E-2</v>
      </c>
      <c r="Q169" s="7">
        <f t="shared" si="15"/>
        <v>0</v>
      </c>
      <c r="R169" s="3">
        <f t="shared" si="16"/>
        <v>0</v>
      </c>
      <c r="S169" s="3">
        <f t="shared" si="17"/>
        <v>0.94877825781172187</v>
      </c>
      <c r="T169" s="3">
        <f t="shared" si="18"/>
        <v>-5.2580166461060167E-2</v>
      </c>
    </row>
    <row r="170" spans="1:20" x14ac:dyDescent="0.25">
      <c r="A170" s="3">
        <v>66</v>
      </c>
      <c r="B170" s="3">
        <v>1</v>
      </c>
      <c r="C170" s="3">
        <v>4</v>
      </c>
      <c r="D170" s="3">
        <v>120</v>
      </c>
      <c r="E170" s="3">
        <v>302</v>
      </c>
      <c r="F170" s="3">
        <v>0</v>
      </c>
      <c r="G170" s="3">
        <v>2</v>
      </c>
      <c r="H170" s="3">
        <v>151</v>
      </c>
      <c r="I170" s="3">
        <v>0</v>
      </c>
      <c r="J170" s="3">
        <v>0.4</v>
      </c>
      <c r="K170" s="3">
        <v>2</v>
      </c>
      <c r="L170" s="3">
        <v>0</v>
      </c>
      <c r="M170" s="3">
        <v>3</v>
      </c>
      <c r="N170" s="3">
        <v>0</v>
      </c>
      <c r="O170" s="7">
        <f t="shared" si="13"/>
        <v>-0.7455595300000013</v>
      </c>
      <c r="P170" s="7">
        <f t="shared" si="14"/>
        <v>0.32178962585229381</v>
      </c>
      <c r="Q170" s="7">
        <f t="shared" si="15"/>
        <v>0</v>
      </c>
      <c r="R170" s="3">
        <f t="shared" si="16"/>
        <v>0</v>
      </c>
      <c r="S170" s="3">
        <f t="shared" si="17"/>
        <v>0.67821037414770613</v>
      </c>
      <c r="T170" s="3">
        <f t="shared" si="18"/>
        <v>-0.38829775281704765</v>
      </c>
    </row>
    <row r="171" spans="1:20" x14ac:dyDescent="0.25">
      <c r="A171" s="3">
        <v>62</v>
      </c>
      <c r="B171" s="3">
        <v>0</v>
      </c>
      <c r="C171" s="3">
        <v>4</v>
      </c>
      <c r="D171" s="3">
        <v>160</v>
      </c>
      <c r="E171" s="3">
        <v>164</v>
      </c>
      <c r="F171" s="3">
        <v>0</v>
      </c>
      <c r="G171" s="3">
        <v>2</v>
      </c>
      <c r="H171" s="3">
        <v>145</v>
      </c>
      <c r="I171" s="3">
        <v>0</v>
      </c>
      <c r="J171" s="3">
        <v>6.2</v>
      </c>
      <c r="K171" s="3">
        <v>3</v>
      </c>
      <c r="L171" s="3">
        <v>3</v>
      </c>
      <c r="M171" s="3">
        <v>7</v>
      </c>
      <c r="N171" s="3">
        <v>1</v>
      </c>
      <c r="O171" s="7">
        <f t="shared" si="13"/>
        <v>7.0164474339999998</v>
      </c>
      <c r="P171" s="7">
        <f t="shared" si="14"/>
        <v>0.99910379738563004</v>
      </c>
      <c r="Q171" s="7">
        <f t="shared" si="15"/>
        <v>1</v>
      </c>
      <c r="R171" s="3">
        <f t="shared" si="16"/>
        <v>0</v>
      </c>
      <c r="S171" s="3">
        <f t="shared" si="17"/>
        <v>0.99910379738563004</v>
      </c>
      <c r="T171" s="3">
        <f t="shared" si="18"/>
        <v>-8.9660444403142562E-4</v>
      </c>
    </row>
    <row r="172" spans="1:20" x14ac:dyDescent="0.25">
      <c r="A172" s="3">
        <v>62</v>
      </c>
      <c r="B172" s="3">
        <v>1</v>
      </c>
      <c r="C172" s="3">
        <v>3</v>
      </c>
      <c r="D172" s="3">
        <v>130</v>
      </c>
      <c r="E172" s="3">
        <v>231</v>
      </c>
      <c r="F172" s="3">
        <v>0</v>
      </c>
      <c r="G172" s="3">
        <v>0</v>
      </c>
      <c r="H172" s="3">
        <v>146</v>
      </c>
      <c r="I172" s="3">
        <v>0</v>
      </c>
      <c r="J172" s="3">
        <v>1.8</v>
      </c>
      <c r="K172" s="3">
        <v>2</v>
      </c>
      <c r="L172" s="3">
        <v>3</v>
      </c>
      <c r="M172" s="3">
        <v>7</v>
      </c>
      <c r="N172" s="3">
        <v>0</v>
      </c>
      <c r="O172" s="7">
        <f t="shared" si="13"/>
        <v>3.9734938979999992</v>
      </c>
      <c r="P172" s="7">
        <f t="shared" si="14"/>
        <v>0.98153958978055578</v>
      </c>
      <c r="Q172" s="7">
        <f t="shared" si="15"/>
        <v>1</v>
      </c>
      <c r="R172" s="3">
        <f t="shared" si="16"/>
        <v>1</v>
      </c>
      <c r="S172" s="3">
        <f t="shared" si="17"/>
        <v>1.8460410219444223E-2</v>
      </c>
      <c r="T172" s="3">
        <f t="shared" si="18"/>
        <v>-3.9921268280826028</v>
      </c>
    </row>
    <row r="173" spans="1:20" x14ac:dyDescent="0.25">
      <c r="A173" s="3">
        <v>60</v>
      </c>
      <c r="B173" s="3">
        <v>0</v>
      </c>
      <c r="C173" s="3">
        <v>4</v>
      </c>
      <c r="D173" s="3">
        <v>150</v>
      </c>
      <c r="E173" s="3">
        <v>258</v>
      </c>
      <c r="F173" s="3">
        <v>0</v>
      </c>
      <c r="G173" s="3">
        <v>2</v>
      </c>
      <c r="H173" s="3">
        <v>157</v>
      </c>
      <c r="I173" s="3">
        <v>0</v>
      </c>
      <c r="J173" s="3">
        <v>2.6</v>
      </c>
      <c r="K173" s="3">
        <v>2</v>
      </c>
      <c r="L173" s="3">
        <v>2</v>
      </c>
      <c r="M173" s="3">
        <v>7</v>
      </c>
      <c r="N173" s="3">
        <v>1</v>
      </c>
      <c r="O173" s="7">
        <f t="shared" si="13"/>
        <v>3.6270371219999991</v>
      </c>
      <c r="P173" s="7">
        <f t="shared" si="14"/>
        <v>0.97409409881662568</v>
      </c>
      <c r="Q173" s="7">
        <f t="shared" si="15"/>
        <v>1</v>
      </c>
      <c r="R173" s="3">
        <f t="shared" si="16"/>
        <v>0</v>
      </c>
      <c r="S173" s="3">
        <f t="shared" si="17"/>
        <v>0.97409409881662568</v>
      </c>
      <c r="T173" s="3">
        <f t="shared" si="18"/>
        <v>-2.6247369311427009E-2</v>
      </c>
    </row>
    <row r="174" spans="1:20" x14ac:dyDescent="0.25">
      <c r="A174" s="3">
        <v>34</v>
      </c>
      <c r="B174" s="3">
        <v>1</v>
      </c>
      <c r="C174" s="3">
        <v>1</v>
      </c>
      <c r="D174" s="3">
        <v>118</v>
      </c>
      <c r="E174" s="3">
        <v>182</v>
      </c>
      <c r="F174" s="3">
        <v>0</v>
      </c>
      <c r="G174" s="3">
        <v>2</v>
      </c>
      <c r="H174" s="3">
        <v>174</v>
      </c>
      <c r="I174" s="3">
        <v>0</v>
      </c>
      <c r="J174" s="3">
        <v>0</v>
      </c>
      <c r="K174" s="3">
        <v>1</v>
      </c>
      <c r="L174" s="3">
        <v>0</v>
      </c>
      <c r="M174" s="3">
        <v>3</v>
      </c>
      <c r="N174" s="3">
        <v>0</v>
      </c>
      <c r="O174" s="7">
        <f t="shared" si="13"/>
        <v>-4.6780808780000021</v>
      </c>
      <c r="P174" s="7">
        <f t="shared" si="14"/>
        <v>9.2112034736290156E-3</v>
      </c>
      <c r="Q174" s="7">
        <f t="shared" si="15"/>
        <v>0</v>
      </c>
      <c r="R174" s="3">
        <f t="shared" si="16"/>
        <v>0</v>
      </c>
      <c r="S174" s="3">
        <f t="shared" si="17"/>
        <v>0.99078879652637097</v>
      </c>
      <c r="T174" s="3">
        <f t="shared" si="18"/>
        <v>-9.2538889335162869E-3</v>
      </c>
    </row>
    <row r="175" spans="1:20" x14ac:dyDescent="0.25">
      <c r="A175" s="3">
        <v>49</v>
      </c>
      <c r="B175" s="3">
        <v>1</v>
      </c>
      <c r="C175" s="3">
        <v>3</v>
      </c>
      <c r="D175" s="3">
        <v>120</v>
      </c>
      <c r="E175" s="3">
        <v>188</v>
      </c>
      <c r="F175" s="3">
        <v>0</v>
      </c>
      <c r="G175" s="3">
        <v>0</v>
      </c>
      <c r="H175" s="3">
        <v>139</v>
      </c>
      <c r="I175" s="3">
        <v>0</v>
      </c>
      <c r="J175" s="3">
        <v>2</v>
      </c>
      <c r="K175" s="3">
        <v>2</v>
      </c>
      <c r="L175" s="3">
        <v>3</v>
      </c>
      <c r="M175" s="3">
        <v>7</v>
      </c>
      <c r="N175" s="3">
        <v>1</v>
      </c>
      <c r="O175" s="7">
        <f t="shared" si="13"/>
        <v>3.8964235129999985</v>
      </c>
      <c r="P175" s="7">
        <f t="shared" si="14"/>
        <v>0.98009002394108546</v>
      </c>
      <c r="Q175" s="7">
        <f t="shared" si="15"/>
        <v>1</v>
      </c>
      <c r="R175" s="3">
        <f t="shared" si="16"/>
        <v>0</v>
      </c>
      <c r="S175" s="3">
        <f t="shared" si="17"/>
        <v>0.98009002394108546</v>
      </c>
      <c r="T175" s="3">
        <f t="shared" si="18"/>
        <v>-2.0110850372124914E-2</v>
      </c>
    </row>
    <row r="176" spans="1:20" x14ac:dyDescent="0.25">
      <c r="A176" s="3">
        <v>54</v>
      </c>
      <c r="B176" s="3">
        <v>1</v>
      </c>
      <c r="C176" s="3">
        <v>2</v>
      </c>
      <c r="D176" s="3">
        <v>108</v>
      </c>
      <c r="E176" s="3">
        <v>309</v>
      </c>
      <c r="F176" s="3">
        <v>0</v>
      </c>
      <c r="G176" s="3">
        <v>0</v>
      </c>
      <c r="H176" s="3">
        <v>156</v>
      </c>
      <c r="I176" s="3">
        <v>0</v>
      </c>
      <c r="J176" s="3">
        <v>0</v>
      </c>
      <c r="K176" s="3">
        <v>1</v>
      </c>
      <c r="L176" s="3">
        <v>0</v>
      </c>
      <c r="M176" s="3">
        <v>7</v>
      </c>
      <c r="N176" s="3">
        <v>0</v>
      </c>
      <c r="O176" s="7">
        <f t="shared" si="13"/>
        <v>-2.9521471820000009</v>
      </c>
      <c r="P176" s="7">
        <f t="shared" si="14"/>
        <v>4.9635127801032942E-2</v>
      </c>
      <c r="Q176" s="7">
        <f t="shared" si="15"/>
        <v>0</v>
      </c>
      <c r="R176" s="3">
        <f t="shared" si="16"/>
        <v>0</v>
      </c>
      <c r="S176" s="3">
        <f t="shared" si="17"/>
        <v>0.95036487219896704</v>
      </c>
      <c r="T176" s="3">
        <f t="shared" si="18"/>
        <v>-5.0909292126944193E-2</v>
      </c>
    </row>
    <row r="177" spans="1:20" x14ac:dyDescent="0.25">
      <c r="A177" s="3">
        <v>61</v>
      </c>
      <c r="B177" s="3">
        <v>0</v>
      </c>
      <c r="C177" s="3">
        <v>4</v>
      </c>
      <c r="D177" s="3">
        <v>145</v>
      </c>
      <c r="E177" s="3">
        <v>307</v>
      </c>
      <c r="F177" s="3">
        <v>0</v>
      </c>
      <c r="G177" s="3">
        <v>2</v>
      </c>
      <c r="H177" s="3">
        <v>146</v>
      </c>
      <c r="I177" s="3">
        <v>1</v>
      </c>
      <c r="J177" s="3">
        <v>1</v>
      </c>
      <c r="K177" s="3">
        <v>2</v>
      </c>
      <c r="L177" s="3">
        <v>0</v>
      </c>
      <c r="M177" s="3">
        <v>7</v>
      </c>
      <c r="N177" s="3">
        <v>1</v>
      </c>
      <c r="O177" s="7">
        <f t="shared" si="13"/>
        <v>1.3702908120000004</v>
      </c>
      <c r="P177" s="7">
        <f t="shared" si="14"/>
        <v>0.79742713455919412</v>
      </c>
      <c r="Q177" s="7">
        <f t="shared" si="15"/>
        <v>1</v>
      </c>
      <c r="R177" s="3">
        <f t="shared" si="16"/>
        <v>0</v>
      </c>
      <c r="S177" s="3">
        <f t="shared" si="17"/>
        <v>0.79742713455919412</v>
      </c>
      <c r="T177" s="3">
        <f t="shared" si="18"/>
        <v>-0.22636481582128015</v>
      </c>
    </row>
    <row r="178" spans="1:20" x14ac:dyDescent="0.25">
      <c r="A178" s="3">
        <v>41</v>
      </c>
      <c r="B178" s="3">
        <v>1</v>
      </c>
      <c r="C178" s="3">
        <v>2</v>
      </c>
      <c r="D178" s="3">
        <v>135</v>
      </c>
      <c r="E178" s="3">
        <v>203</v>
      </c>
      <c r="F178" s="3">
        <v>0</v>
      </c>
      <c r="G178" s="3">
        <v>0</v>
      </c>
      <c r="H178" s="3">
        <v>132</v>
      </c>
      <c r="I178" s="3">
        <v>0</v>
      </c>
      <c r="J178" s="3">
        <v>0</v>
      </c>
      <c r="K178" s="3">
        <v>2</v>
      </c>
      <c r="L178" s="3">
        <v>0</v>
      </c>
      <c r="M178" s="3">
        <v>6</v>
      </c>
      <c r="N178" s="3">
        <v>0</v>
      </c>
      <c r="O178" s="7">
        <f t="shared" si="13"/>
        <v>-1.1733980270000011</v>
      </c>
      <c r="P178" s="7">
        <f t="shared" si="14"/>
        <v>0.23624132422904395</v>
      </c>
      <c r="Q178" s="7">
        <f t="shared" si="15"/>
        <v>0</v>
      </c>
      <c r="R178" s="3">
        <f t="shared" si="16"/>
        <v>0</v>
      </c>
      <c r="S178" s="3">
        <f t="shared" si="17"/>
        <v>0.76375867577095602</v>
      </c>
      <c r="T178" s="3">
        <f t="shared" si="18"/>
        <v>-0.26950340912260962</v>
      </c>
    </row>
    <row r="179" spans="1:20" x14ac:dyDescent="0.25">
      <c r="A179" s="3">
        <v>63</v>
      </c>
      <c r="B179" s="3">
        <v>1</v>
      </c>
      <c r="C179" s="3">
        <v>4</v>
      </c>
      <c r="D179" s="3">
        <v>130</v>
      </c>
      <c r="E179" s="3">
        <v>330</v>
      </c>
      <c r="F179" s="3">
        <v>1</v>
      </c>
      <c r="G179" s="3">
        <v>2</v>
      </c>
      <c r="H179" s="3">
        <v>132</v>
      </c>
      <c r="I179" s="3">
        <v>1</v>
      </c>
      <c r="J179" s="3">
        <v>1.8</v>
      </c>
      <c r="K179" s="3">
        <v>1</v>
      </c>
      <c r="L179" s="3">
        <v>3</v>
      </c>
      <c r="M179" s="3">
        <v>7</v>
      </c>
      <c r="N179" s="3">
        <v>1</v>
      </c>
      <c r="O179" s="7">
        <f t="shared" si="13"/>
        <v>5.1869127769999999</v>
      </c>
      <c r="P179" s="7">
        <f t="shared" si="14"/>
        <v>0.99444183049477719</v>
      </c>
      <c r="Q179" s="7">
        <f t="shared" si="15"/>
        <v>1</v>
      </c>
      <c r="R179" s="3">
        <f t="shared" si="16"/>
        <v>0</v>
      </c>
      <c r="S179" s="3">
        <f t="shared" si="17"/>
        <v>0.99444183049477719</v>
      </c>
      <c r="T179" s="3">
        <f t="shared" si="18"/>
        <v>-5.573673605648052E-3</v>
      </c>
    </row>
    <row r="180" spans="1:20" x14ac:dyDescent="0.25">
      <c r="A180" s="3">
        <v>65</v>
      </c>
      <c r="B180" s="3">
        <v>1</v>
      </c>
      <c r="C180" s="3">
        <v>4</v>
      </c>
      <c r="D180" s="3">
        <v>135</v>
      </c>
      <c r="E180" s="3">
        <v>254</v>
      </c>
      <c r="F180" s="3">
        <v>0</v>
      </c>
      <c r="G180" s="3">
        <v>2</v>
      </c>
      <c r="H180" s="3">
        <v>127</v>
      </c>
      <c r="I180" s="3">
        <v>0</v>
      </c>
      <c r="J180" s="3">
        <v>2.8</v>
      </c>
      <c r="K180" s="3">
        <v>2</v>
      </c>
      <c r="L180" s="3">
        <v>1</v>
      </c>
      <c r="M180" s="3">
        <v>7</v>
      </c>
      <c r="N180" s="3">
        <v>1</v>
      </c>
      <c r="O180" s="7">
        <f t="shared" si="13"/>
        <v>3.2795794479999998</v>
      </c>
      <c r="P180" s="7">
        <f t="shared" si="14"/>
        <v>0.96372158303003674</v>
      </c>
      <c r="Q180" s="7">
        <f t="shared" si="15"/>
        <v>1</v>
      </c>
      <c r="R180" s="3">
        <f t="shared" si="16"/>
        <v>0</v>
      </c>
      <c r="S180" s="3">
        <f t="shared" si="17"/>
        <v>0.96372158303003674</v>
      </c>
      <c r="T180" s="3">
        <f t="shared" si="18"/>
        <v>-3.6952840370663161E-2</v>
      </c>
    </row>
    <row r="181" spans="1:20" x14ac:dyDescent="0.25">
      <c r="A181" s="3">
        <v>44</v>
      </c>
      <c r="B181" s="3">
        <v>1</v>
      </c>
      <c r="C181" s="3">
        <v>2</v>
      </c>
      <c r="D181" s="3">
        <v>120</v>
      </c>
      <c r="E181" s="3">
        <v>220</v>
      </c>
      <c r="F181" s="3">
        <v>0</v>
      </c>
      <c r="G181" s="3">
        <v>0</v>
      </c>
      <c r="H181" s="3">
        <v>170</v>
      </c>
      <c r="I181" s="3">
        <v>0</v>
      </c>
      <c r="J181" s="3">
        <v>0</v>
      </c>
      <c r="K181" s="3">
        <v>1</v>
      </c>
      <c r="L181" s="3">
        <v>0</v>
      </c>
      <c r="M181" s="3">
        <v>3</v>
      </c>
      <c r="N181" s="3">
        <v>0</v>
      </c>
      <c r="O181" s="7">
        <f t="shared" si="13"/>
        <v>-4.1950401850000016</v>
      </c>
      <c r="P181" s="7">
        <f t="shared" si="14"/>
        <v>1.4846399582930823E-2</v>
      </c>
      <c r="Q181" s="7">
        <f t="shared" si="15"/>
        <v>0</v>
      </c>
      <c r="R181" s="3">
        <f t="shared" si="16"/>
        <v>0</v>
      </c>
      <c r="S181" s="3">
        <f t="shared" si="17"/>
        <v>0.98515360041706923</v>
      </c>
      <c r="T181" s="3">
        <f t="shared" si="18"/>
        <v>-1.4957710457634709E-2</v>
      </c>
    </row>
    <row r="182" spans="1:20" x14ac:dyDescent="0.25">
      <c r="A182" s="3">
        <v>54</v>
      </c>
      <c r="B182" s="3">
        <v>1</v>
      </c>
      <c r="C182" s="3">
        <v>3</v>
      </c>
      <c r="D182" s="3">
        <v>120</v>
      </c>
      <c r="E182" s="3">
        <v>258</v>
      </c>
      <c r="F182" s="3">
        <v>0</v>
      </c>
      <c r="G182" s="3">
        <v>2</v>
      </c>
      <c r="H182" s="3">
        <v>147</v>
      </c>
      <c r="I182" s="3">
        <v>0</v>
      </c>
      <c r="J182" s="3">
        <v>0.4</v>
      </c>
      <c r="K182" s="3">
        <v>2</v>
      </c>
      <c r="L182" s="3">
        <v>0</v>
      </c>
      <c r="M182" s="3">
        <v>7</v>
      </c>
      <c r="N182" s="3">
        <v>0</v>
      </c>
      <c r="O182" s="7">
        <f t="shared" si="13"/>
        <v>-0.2568393490000016</v>
      </c>
      <c r="P182" s="7">
        <f t="shared" si="14"/>
        <v>0.43614082433277079</v>
      </c>
      <c r="Q182" s="7">
        <f t="shared" si="15"/>
        <v>0</v>
      </c>
      <c r="R182" s="3">
        <f t="shared" si="16"/>
        <v>0</v>
      </c>
      <c r="S182" s="3">
        <f t="shared" si="17"/>
        <v>0.56385917566722921</v>
      </c>
      <c r="T182" s="3">
        <f t="shared" si="18"/>
        <v>-0.57295074719473138</v>
      </c>
    </row>
    <row r="183" spans="1:20" x14ac:dyDescent="0.25">
      <c r="A183" s="3">
        <v>51</v>
      </c>
      <c r="B183" s="3">
        <v>1</v>
      </c>
      <c r="C183" s="3">
        <v>3</v>
      </c>
      <c r="D183" s="3">
        <v>94</v>
      </c>
      <c r="E183" s="3">
        <v>227</v>
      </c>
      <c r="F183" s="3">
        <v>0</v>
      </c>
      <c r="G183" s="3">
        <v>0</v>
      </c>
      <c r="H183" s="3">
        <v>154</v>
      </c>
      <c r="I183" s="3">
        <v>1</v>
      </c>
      <c r="J183" s="3">
        <v>0</v>
      </c>
      <c r="K183" s="3">
        <v>1</v>
      </c>
      <c r="L183" s="3">
        <v>1</v>
      </c>
      <c r="M183" s="3">
        <v>7</v>
      </c>
      <c r="N183" s="3">
        <v>0</v>
      </c>
      <c r="O183" s="7">
        <f t="shared" si="13"/>
        <v>-0.54086571900000102</v>
      </c>
      <c r="P183" s="7">
        <f t="shared" si="14"/>
        <v>0.36798621695120293</v>
      </c>
      <c r="Q183" s="7">
        <f t="shared" si="15"/>
        <v>0</v>
      </c>
      <c r="R183" s="3">
        <f t="shared" si="16"/>
        <v>0</v>
      </c>
      <c r="S183" s="3">
        <f t="shared" si="17"/>
        <v>0.63201378304879707</v>
      </c>
      <c r="T183" s="3">
        <f t="shared" si="18"/>
        <v>-0.45884407645156983</v>
      </c>
    </row>
    <row r="184" spans="1:20" x14ac:dyDescent="0.25">
      <c r="A184" s="3">
        <v>35</v>
      </c>
      <c r="B184" s="3">
        <v>1</v>
      </c>
      <c r="C184" s="3">
        <v>4</v>
      </c>
      <c r="D184" s="3">
        <v>120</v>
      </c>
      <c r="E184" s="3">
        <v>198</v>
      </c>
      <c r="F184" s="3">
        <v>0</v>
      </c>
      <c r="G184" s="3">
        <v>0</v>
      </c>
      <c r="H184" s="3">
        <v>130</v>
      </c>
      <c r="I184" s="3">
        <v>1</v>
      </c>
      <c r="J184" s="3">
        <v>1.6</v>
      </c>
      <c r="K184" s="3">
        <v>2</v>
      </c>
      <c r="L184" s="3">
        <v>0</v>
      </c>
      <c r="M184" s="3">
        <v>7</v>
      </c>
      <c r="N184" s="3">
        <v>1</v>
      </c>
      <c r="O184" s="7">
        <f t="shared" si="13"/>
        <v>1.5250830829999984</v>
      </c>
      <c r="P184" s="7">
        <f t="shared" si="14"/>
        <v>0.82128577121164426</v>
      </c>
      <c r="Q184" s="7">
        <f t="shared" si="15"/>
        <v>1</v>
      </c>
      <c r="R184" s="3">
        <f t="shared" si="16"/>
        <v>0</v>
      </c>
      <c r="S184" s="3">
        <f t="shared" si="17"/>
        <v>0.82128577121164426</v>
      </c>
      <c r="T184" s="3">
        <f t="shared" si="18"/>
        <v>-0.19688415310097523</v>
      </c>
    </row>
    <row r="185" spans="1:20" x14ac:dyDescent="0.25">
      <c r="A185" s="3">
        <v>64</v>
      </c>
      <c r="B185" s="3">
        <v>1</v>
      </c>
      <c r="C185" s="3">
        <v>3</v>
      </c>
      <c r="D185" s="3">
        <v>125</v>
      </c>
      <c r="E185" s="3">
        <v>309</v>
      </c>
      <c r="F185" s="3">
        <v>0</v>
      </c>
      <c r="G185" s="3">
        <v>0</v>
      </c>
      <c r="H185" s="3">
        <v>131</v>
      </c>
      <c r="I185" s="3">
        <v>1</v>
      </c>
      <c r="J185" s="3">
        <v>1.8</v>
      </c>
      <c r="K185" s="3">
        <v>2</v>
      </c>
      <c r="L185" s="3">
        <v>0</v>
      </c>
      <c r="M185" s="3">
        <v>7</v>
      </c>
      <c r="N185" s="3">
        <v>1</v>
      </c>
      <c r="O185" s="7">
        <f t="shared" si="13"/>
        <v>0.81957345699999706</v>
      </c>
      <c r="P185" s="7">
        <f t="shared" si="14"/>
        <v>0.69414578936741034</v>
      </c>
      <c r="Q185" s="7">
        <f t="shared" si="15"/>
        <v>1</v>
      </c>
      <c r="R185" s="3">
        <f t="shared" si="16"/>
        <v>0</v>
      </c>
      <c r="S185" s="3">
        <f t="shared" si="17"/>
        <v>0.69414578936741034</v>
      </c>
      <c r="T185" s="3">
        <f t="shared" si="18"/>
        <v>-0.36507326940258666</v>
      </c>
    </row>
    <row r="186" spans="1:20" x14ac:dyDescent="0.25">
      <c r="A186" s="3">
        <v>57</v>
      </c>
      <c r="B186" s="3">
        <v>1</v>
      </c>
      <c r="C186" s="3">
        <v>4</v>
      </c>
      <c r="D186" s="3">
        <v>165</v>
      </c>
      <c r="E186" s="3">
        <v>289</v>
      </c>
      <c r="F186" s="3">
        <v>1</v>
      </c>
      <c r="G186" s="3">
        <v>2</v>
      </c>
      <c r="H186" s="3">
        <v>124</v>
      </c>
      <c r="I186" s="3">
        <v>0</v>
      </c>
      <c r="J186" s="3">
        <v>1</v>
      </c>
      <c r="K186" s="3">
        <v>2</v>
      </c>
      <c r="L186" s="3">
        <v>3</v>
      </c>
      <c r="M186" s="3">
        <v>7</v>
      </c>
      <c r="N186" s="3">
        <v>1</v>
      </c>
      <c r="O186" s="7">
        <f t="shared" si="13"/>
        <v>6.3478907189999987</v>
      </c>
      <c r="P186" s="7">
        <f t="shared" si="14"/>
        <v>0.99825262326486564</v>
      </c>
      <c r="Q186" s="7">
        <f t="shared" si="15"/>
        <v>1</v>
      </c>
      <c r="R186" s="3">
        <f t="shared" si="16"/>
        <v>0</v>
      </c>
      <c r="S186" s="3">
        <f t="shared" si="17"/>
        <v>0.99825262326486564</v>
      </c>
      <c r="T186" s="3">
        <f t="shared" si="18"/>
        <v>-1.7489051786321926E-3</v>
      </c>
    </row>
    <row r="187" spans="1:20" x14ac:dyDescent="0.25">
      <c r="A187" s="3">
        <v>60</v>
      </c>
      <c r="B187" s="3">
        <v>0</v>
      </c>
      <c r="C187" s="3">
        <v>3</v>
      </c>
      <c r="D187" s="3">
        <v>102</v>
      </c>
      <c r="E187" s="3">
        <v>318</v>
      </c>
      <c r="F187" s="3">
        <v>0</v>
      </c>
      <c r="G187" s="3">
        <v>0</v>
      </c>
      <c r="H187" s="3">
        <v>160</v>
      </c>
      <c r="I187" s="3">
        <v>0</v>
      </c>
      <c r="J187" s="3">
        <v>0</v>
      </c>
      <c r="K187" s="3">
        <v>1</v>
      </c>
      <c r="L187" s="3">
        <v>1</v>
      </c>
      <c r="M187" s="3">
        <v>3</v>
      </c>
      <c r="N187" s="3">
        <v>0</v>
      </c>
      <c r="O187" s="7">
        <f t="shared" si="13"/>
        <v>-3.151101146000002</v>
      </c>
      <c r="P187" s="7">
        <f t="shared" si="14"/>
        <v>4.1047911899790908E-2</v>
      </c>
      <c r="Q187" s="7">
        <f t="shared" si="15"/>
        <v>0</v>
      </c>
      <c r="R187" s="3">
        <f t="shared" si="16"/>
        <v>0</v>
      </c>
      <c r="S187" s="3">
        <f t="shared" si="17"/>
        <v>0.95895208810020904</v>
      </c>
      <c r="T187" s="3">
        <f t="shared" si="18"/>
        <v>-4.1914165617652502E-2</v>
      </c>
    </row>
    <row r="188" spans="1:20" x14ac:dyDescent="0.25">
      <c r="A188" s="3">
        <v>42</v>
      </c>
      <c r="B188" s="3">
        <v>0</v>
      </c>
      <c r="C188" s="3">
        <v>4</v>
      </c>
      <c r="D188" s="3">
        <v>102</v>
      </c>
      <c r="E188" s="3">
        <v>265</v>
      </c>
      <c r="F188" s="3">
        <v>0</v>
      </c>
      <c r="G188" s="3">
        <v>2</v>
      </c>
      <c r="H188" s="3">
        <v>122</v>
      </c>
      <c r="I188" s="3">
        <v>0</v>
      </c>
      <c r="J188" s="3">
        <v>0.6</v>
      </c>
      <c r="K188" s="3">
        <v>2</v>
      </c>
      <c r="L188" s="3">
        <v>0</v>
      </c>
      <c r="M188" s="3">
        <v>3</v>
      </c>
      <c r="N188" s="3">
        <v>0</v>
      </c>
      <c r="O188" s="7">
        <f t="shared" si="13"/>
        <v>-1.3805143390000021</v>
      </c>
      <c r="P188" s="7">
        <f t="shared" si="14"/>
        <v>0.2009264073565187</v>
      </c>
      <c r="Q188" s="7">
        <f t="shared" si="15"/>
        <v>0</v>
      </c>
      <c r="R188" s="3">
        <f t="shared" si="16"/>
        <v>0</v>
      </c>
      <c r="S188" s="3">
        <f t="shared" si="17"/>
        <v>0.79907359264348132</v>
      </c>
      <c r="T188" s="3">
        <f t="shared" si="18"/>
        <v>-0.22430223152058112</v>
      </c>
    </row>
    <row r="189" spans="1:20" x14ac:dyDescent="0.25">
      <c r="A189" s="3">
        <v>67</v>
      </c>
      <c r="B189" s="3">
        <v>0</v>
      </c>
      <c r="C189" s="3">
        <v>3</v>
      </c>
      <c r="D189" s="3">
        <v>115</v>
      </c>
      <c r="E189" s="3">
        <v>564</v>
      </c>
      <c r="F189" s="3">
        <v>0</v>
      </c>
      <c r="G189" s="3">
        <v>2</v>
      </c>
      <c r="H189" s="3">
        <v>160</v>
      </c>
      <c r="I189" s="3">
        <v>0</v>
      </c>
      <c r="J189" s="3">
        <v>1.6</v>
      </c>
      <c r="K189" s="3">
        <v>2</v>
      </c>
      <c r="L189" s="3">
        <v>0</v>
      </c>
      <c r="M189" s="3">
        <v>7</v>
      </c>
      <c r="N189" s="3">
        <v>0</v>
      </c>
      <c r="O189" s="7">
        <f t="shared" si="13"/>
        <v>-0.71556039100000035</v>
      </c>
      <c r="P189" s="7">
        <f t="shared" si="14"/>
        <v>0.32837136323510679</v>
      </c>
      <c r="Q189" s="7">
        <f t="shared" si="15"/>
        <v>0</v>
      </c>
      <c r="R189" s="3">
        <f t="shared" si="16"/>
        <v>0</v>
      </c>
      <c r="S189" s="3">
        <f t="shared" si="17"/>
        <v>0.67162863676489315</v>
      </c>
      <c r="T189" s="3">
        <f t="shared" si="18"/>
        <v>-0.3980497150735991</v>
      </c>
    </row>
    <row r="190" spans="1:20" x14ac:dyDescent="0.25">
      <c r="A190" s="3">
        <v>60</v>
      </c>
      <c r="B190" s="3">
        <v>1</v>
      </c>
      <c r="C190" s="3">
        <v>4</v>
      </c>
      <c r="D190" s="3">
        <v>140</v>
      </c>
      <c r="E190" s="3">
        <v>293</v>
      </c>
      <c r="F190" s="3">
        <v>0</v>
      </c>
      <c r="G190" s="3">
        <v>2</v>
      </c>
      <c r="H190" s="3">
        <v>170</v>
      </c>
      <c r="I190" s="3">
        <v>0</v>
      </c>
      <c r="J190" s="3">
        <v>1.2</v>
      </c>
      <c r="K190" s="3">
        <v>2</v>
      </c>
      <c r="L190" s="3">
        <v>2</v>
      </c>
      <c r="M190" s="3">
        <v>7</v>
      </c>
      <c r="N190" s="3">
        <v>1</v>
      </c>
      <c r="O190" s="7">
        <f t="shared" si="13"/>
        <v>3.7229762709999985</v>
      </c>
      <c r="P190" s="7">
        <f t="shared" si="14"/>
        <v>0.97640807856594991</v>
      </c>
      <c r="Q190" s="7">
        <f t="shared" si="15"/>
        <v>1</v>
      </c>
      <c r="R190" s="3">
        <f t="shared" si="16"/>
        <v>0</v>
      </c>
      <c r="S190" s="3">
        <f t="shared" si="17"/>
        <v>0.97640807856594991</v>
      </c>
      <c r="T190" s="3">
        <f t="shared" si="18"/>
        <v>-2.3874666669262239E-2</v>
      </c>
    </row>
    <row r="191" spans="1:20" x14ac:dyDescent="0.25">
      <c r="A191" s="3">
        <v>46</v>
      </c>
      <c r="B191" s="3">
        <v>1</v>
      </c>
      <c r="C191" s="3">
        <v>2</v>
      </c>
      <c r="D191" s="3">
        <v>101</v>
      </c>
      <c r="E191" s="3">
        <v>197</v>
      </c>
      <c r="F191" s="3">
        <v>1</v>
      </c>
      <c r="G191" s="3">
        <v>0</v>
      </c>
      <c r="H191" s="3">
        <v>156</v>
      </c>
      <c r="I191" s="3">
        <v>0</v>
      </c>
      <c r="J191" s="3">
        <v>0</v>
      </c>
      <c r="K191" s="3">
        <v>1</v>
      </c>
      <c r="L191" s="3">
        <v>0</v>
      </c>
      <c r="M191" s="3">
        <v>7</v>
      </c>
      <c r="N191" s="3">
        <v>0</v>
      </c>
      <c r="O191" s="7">
        <f t="shared" si="13"/>
        <v>-3.8540380330000019</v>
      </c>
      <c r="P191" s="7">
        <f t="shared" si="14"/>
        <v>2.0754119005196404E-2</v>
      </c>
      <c r="Q191" s="7">
        <f t="shared" si="15"/>
        <v>0</v>
      </c>
      <c r="R191" s="3">
        <f t="shared" si="16"/>
        <v>0</v>
      </c>
      <c r="S191" s="3">
        <f t="shared" si="17"/>
        <v>0.97924588099480359</v>
      </c>
      <c r="T191" s="3">
        <f t="shared" si="18"/>
        <v>-2.0972512730665905E-2</v>
      </c>
    </row>
    <row r="192" spans="1:20" x14ac:dyDescent="0.25">
      <c r="A192" s="3">
        <v>77</v>
      </c>
      <c r="B192" s="3">
        <v>1</v>
      </c>
      <c r="C192" s="3">
        <v>4</v>
      </c>
      <c r="D192" s="3">
        <v>125</v>
      </c>
      <c r="E192" s="3">
        <v>304</v>
      </c>
      <c r="F192" s="3">
        <v>0</v>
      </c>
      <c r="G192" s="3">
        <v>2</v>
      </c>
      <c r="H192" s="3">
        <v>162</v>
      </c>
      <c r="I192" s="3">
        <v>1</v>
      </c>
      <c r="J192" s="3">
        <v>0</v>
      </c>
      <c r="K192" s="3">
        <v>1</v>
      </c>
      <c r="L192" s="3">
        <v>3</v>
      </c>
      <c r="M192" s="3">
        <v>3</v>
      </c>
      <c r="N192" s="3">
        <v>1</v>
      </c>
      <c r="O192" s="7">
        <f t="shared" si="13"/>
        <v>3.0585759610000007</v>
      </c>
      <c r="P192" s="7">
        <f t="shared" si="14"/>
        <v>0.95515133454081003</v>
      </c>
      <c r="Q192" s="7">
        <f t="shared" si="15"/>
        <v>1</v>
      </c>
      <c r="R192" s="3">
        <f t="shared" si="16"/>
        <v>0</v>
      </c>
      <c r="S192" s="3">
        <f t="shared" si="17"/>
        <v>0.95515133454081003</v>
      </c>
      <c r="T192" s="3">
        <f t="shared" si="18"/>
        <v>-4.5885485567976753E-2</v>
      </c>
    </row>
    <row r="193" spans="1:20" x14ac:dyDescent="0.25">
      <c r="A193" s="3">
        <v>43</v>
      </c>
      <c r="B193" s="3">
        <v>1</v>
      </c>
      <c r="C193" s="3">
        <v>3</v>
      </c>
      <c r="D193" s="3">
        <v>130</v>
      </c>
      <c r="E193" s="3">
        <v>315</v>
      </c>
      <c r="F193" s="3">
        <v>0</v>
      </c>
      <c r="G193" s="3">
        <v>0</v>
      </c>
      <c r="H193" s="3">
        <v>162</v>
      </c>
      <c r="I193" s="3">
        <v>0</v>
      </c>
      <c r="J193" s="3">
        <v>1.9</v>
      </c>
      <c r="K193" s="3">
        <v>1</v>
      </c>
      <c r="L193" s="3">
        <v>1</v>
      </c>
      <c r="M193" s="3">
        <v>3</v>
      </c>
      <c r="N193" s="3">
        <v>0</v>
      </c>
      <c r="O193" s="7">
        <f t="shared" si="13"/>
        <v>-0.80178675450000014</v>
      </c>
      <c r="P193" s="7">
        <f t="shared" si="14"/>
        <v>0.30964344455163489</v>
      </c>
      <c r="Q193" s="7">
        <f t="shared" si="15"/>
        <v>0</v>
      </c>
      <c r="R193" s="3">
        <f t="shared" si="16"/>
        <v>0</v>
      </c>
      <c r="S193" s="3">
        <f t="shared" si="17"/>
        <v>0.69035655544836505</v>
      </c>
      <c r="T193" s="3">
        <f t="shared" si="18"/>
        <v>-0.37054706783198332</v>
      </c>
    </row>
    <row r="194" spans="1:20" x14ac:dyDescent="0.25">
      <c r="A194" s="3">
        <v>53</v>
      </c>
      <c r="B194" s="3">
        <v>1</v>
      </c>
      <c r="C194" s="3">
        <v>3</v>
      </c>
      <c r="D194" s="3">
        <v>130</v>
      </c>
      <c r="E194" s="3">
        <v>246</v>
      </c>
      <c r="F194" s="3">
        <v>1</v>
      </c>
      <c r="G194" s="3">
        <v>2</v>
      </c>
      <c r="H194" s="3">
        <v>173</v>
      </c>
      <c r="I194" s="3">
        <v>0</v>
      </c>
      <c r="J194" s="3">
        <v>0</v>
      </c>
      <c r="K194" s="3">
        <v>1</v>
      </c>
      <c r="L194" s="3">
        <v>3</v>
      </c>
      <c r="M194" s="3">
        <v>3</v>
      </c>
      <c r="N194" s="3">
        <v>0</v>
      </c>
      <c r="O194" s="7">
        <f t="shared" si="13"/>
        <v>1.0429083389999985</v>
      </c>
      <c r="P194" s="7">
        <f t="shared" si="14"/>
        <v>0.73941078211409583</v>
      </c>
      <c r="Q194" s="7">
        <f t="shared" si="15"/>
        <v>1</v>
      </c>
      <c r="R194" s="3">
        <f t="shared" si="16"/>
        <v>1</v>
      </c>
      <c r="S194" s="3">
        <f t="shared" si="17"/>
        <v>0.26058921788590417</v>
      </c>
      <c r="T194" s="3">
        <f t="shared" si="18"/>
        <v>-1.3448099893380254</v>
      </c>
    </row>
    <row r="195" spans="1:20" x14ac:dyDescent="0.25">
      <c r="A195" s="3">
        <v>50</v>
      </c>
      <c r="B195" s="3">
        <v>1</v>
      </c>
      <c r="C195" s="3">
        <v>3</v>
      </c>
      <c r="D195" s="3">
        <v>129</v>
      </c>
      <c r="E195" s="3">
        <v>196</v>
      </c>
      <c r="F195" s="3">
        <v>0</v>
      </c>
      <c r="G195" s="3">
        <v>0</v>
      </c>
      <c r="H195" s="3">
        <v>163</v>
      </c>
      <c r="I195" s="3">
        <v>0</v>
      </c>
      <c r="J195" s="3">
        <v>0</v>
      </c>
      <c r="K195" s="3">
        <v>1</v>
      </c>
      <c r="L195" s="3">
        <v>0</v>
      </c>
      <c r="M195" s="3">
        <v>3</v>
      </c>
      <c r="N195" s="3">
        <v>0</v>
      </c>
      <c r="O195" s="7">
        <f t="shared" si="13"/>
        <v>-3.0619215600000009</v>
      </c>
      <c r="P195" s="7">
        <f t="shared" si="14"/>
        <v>4.4705567192963876E-2</v>
      </c>
      <c r="Q195" s="7">
        <f t="shared" si="15"/>
        <v>0</v>
      </c>
      <c r="R195" s="3">
        <f t="shared" si="16"/>
        <v>0</v>
      </c>
      <c r="S195" s="3">
        <f t="shared" si="17"/>
        <v>0.95529443280703608</v>
      </c>
      <c r="T195" s="3">
        <f t="shared" si="18"/>
        <v>-4.5735679413895426E-2</v>
      </c>
    </row>
    <row r="196" spans="1:20" x14ac:dyDescent="0.25">
      <c r="A196" s="3">
        <v>57</v>
      </c>
      <c r="B196" s="3">
        <v>1</v>
      </c>
      <c r="C196" s="3">
        <v>3</v>
      </c>
      <c r="D196" s="3">
        <v>150</v>
      </c>
      <c r="E196" s="3">
        <v>126</v>
      </c>
      <c r="F196" s="3">
        <v>1</v>
      </c>
      <c r="G196" s="3">
        <v>0</v>
      </c>
      <c r="H196" s="3">
        <v>173</v>
      </c>
      <c r="I196" s="3">
        <v>0</v>
      </c>
      <c r="J196" s="3">
        <v>0.2</v>
      </c>
      <c r="K196" s="3">
        <v>1</v>
      </c>
      <c r="L196" s="3">
        <v>1</v>
      </c>
      <c r="M196" s="3">
        <v>7</v>
      </c>
      <c r="N196" s="3">
        <v>0</v>
      </c>
      <c r="O196" s="7">
        <f t="shared" si="13"/>
        <v>-0.70942035400000059</v>
      </c>
      <c r="P196" s="7">
        <f t="shared" si="14"/>
        <v>0.32972693341650111</v>
      </c>
      <c r="Q196" s="7">
        <f t="shared" si="15"/>
        <v>0</v>
      </c>
      <c r="R196" s="3">
        <f t="shared" si="16"/>
        <v>0</v>
      </c>
      <c r="S196" s="3">
        <f t="shared" si="17"/>
        <v>0.67027306658349883</v>
      </c>
      <c r="T196" s="3">
        <f t="shared" si="18"/>
        <v>-0.40007008756306067</v>
      </c>
    </row>
    <row r="197" spans="1:20" x14ac:dyDescent="0.25">
      <c r="A197" s="3">
        <v>37</v>
      </c>
      <c r="B197" s="3">
        <v>0</v>
      </c>
      <c r="C197" s="3">
        <v>3</v>
      </c>
      <c r="D197" s="3">
        <v>120</v>
      </c>
      <c r="E197" s="3">
        <v>215</v>
      </c>
      <c r="F197" s="3">
        <v>0</v>
      </c>
      <c r="G197" s="3">
        <v>0</v>
      </c>
      <c r="H197" s="3">
        <v>170</v>
      </c>
      <c r="I197" s="3">
        <v>0</v>
      </c>
      <c r="J197" s="3">
        <v>0</v>
      </c>
      <c r="K197" s="3">
        <v>1</v>
      </c>
      <c r="L197" s="3">
        <v>0</v>
      </c>
      <c r="M197" s="3">
        <v>3</v>
      </c>
      <c r="N197" s="3">
        <v>0</v>
      </c>
      <c r="O197" s="7">
        <f t="shared" si="13"/>
        <v>-4.206417945000001</v>
      </c>
      <c r="P197" s="7">
        <f t="shared" si="14"/>
        <v>1.4680903961927018E-2</v>
      </c>
      <c r="Q197" s="7">
        <f t="shared" si="15"/>
        <v>0</v>
      </c>
      <c r="R197" s="3">
        <f t="shared" si="16"/>
        <v>0</v>
      </c>
      <c r="S197" s="3">
        <f t="shared" si="17"/>
        <v>0.98531909603807299</v>
      </c>
      <c r="T197" s="3">
        <f t="shared" si="18"/>
        <v>-1.4789734903656598E-2</v>
      </c>
    </row>
    <row r="198" spans="1:20" x14ac:dyDescent="0.25">
      <c r="A198" s="3">
        <v>54</v>
      </c>
      <c r="B198" s="3">
        <v>0</v>
      </c>
      <c r="C198" s="3">
        <v>3</v>
      </c>
      <c r="D198" s="3">
        <v>108</v>
      </c>
      <c r="E198" s="3">
        <v>267</v>
      </c>
      <c r="F198" s="3">
        <v>0</v>
      </c>
      <c r="G198" s="3">
        <v>2</v>
      </c>
      <c r="H198" s="3">
        <v>167</v>
      </c>
      <c r="I198" s="3">
        <v>0</v>
      </c>
      <c r="J198" s="3">
        <v>0</v>
      </c>
      <c r="K198" s="3">
        <v>1</v>
      </c>
      <c r="L198" s="3">
        <v>0</v>
      </c>
      <c r="M198" s="3">
        <v>3</v>
      </c>
      <c r="N198" s="3">
        <v>0</v>
      </c>
      <c r="O198" s="7">
        <f t="shared" si="13"/>
        <v>-4.0981616980000011</v>
      </c>
      <c r="P198" s="7">
        <f t="shared" si="14"/>
        <v>1.6332005948797114E-2</v>
      </c>
      <c r="Q198" s="7">
        <f t="shared" si="15"/>
        <v>0</v>
      </c>
      <c r="R198" s="3">
        <f t="shared" si="16"/>
        <v>0</v>
      </c>
      <c r="S198" s="3">
        <f t="shared" si="17"/>
        <v>0.98366799405120287</v>
      </c>
      <c r="T198" s="3">
        <f t="shared" si="18"/>
        <v>-1.6466843283070874E-2</v>
      </c>
    </row>
    <row r="199" spans="1:20" x14ac:dyDescent="0.25">
      <c r="A199" s="3">
        <v>39</v>
      </c>
      <c r="B199" s="3">
        <v>0</v>
      </c>
      <c r="C199" s="3">
        <v>3</v>
      </c>
      <c r="D199" s="3">
        <v>94</v>
      </c>
      <c r="E199" s="3">
        <v>199</v>
      </c>
      <c r="F199" s="3">
        <v>0</v>
      </c>
      <c r="G199" s="3">
        <v>0</v>
      </c>
      <c r="H199" s="3">
        <v>179</v>
      </c>
      <c r="I199" s="3">
        <v>0</v>
      </c>
      <c r="J199" s="3">
        <v>0</v>
      </c>
      <c r="K199" s="3">
        <v>1</v>
      </c>
      <c r="L199" s="3">
        <v>0</v>
      </c>
      <c r="M199" s="3">
        <v>3</v>
      </c>
      <c r="N199" s="3">
        <v>0</v>
      </c>
      <c r="O199" s="7">
        <f t="shared" ref="O199:O219" si="19">SUMPRODUCT(A$4:M$4, A199:M199)+N$4</f>
        <v>-5.2615129530000013</v>
      </c>
      <c r="P199" s="7">
        <f t="shared" ref="P199:P219" si="20">1/(1+EXP(0-O199))</f>
        <v>5.1606796402280854E-3</v>
      </c>
      <c r="Q199" s="7">
        <f t="shared" ref="Q199:Q219" si="21">IF(P199&lt;=0.5, 0, 1)</f>
        <v>0</v>
      </c>
      <c r="R199" s="3">
        <f t="shared" ref="R199:R219" si="22">IF(N199=Q199, 0, 1)</f>
        <v>0</v>
      </c>
      <c r="S199" s="3">
        <f t="shared" ref="S199:S219" si="23">IF(N199=1, P199, 1-P199)</f>
        <v>0.99483932035977196</v>
      </c>
      <c r="T199" s="3">
        <f t="shared" ref="T199:T219" si="24">IF(S199=0, -100000, LN(S199))</f>
        <v>-5.1740419395920724E-3</v>
      </c>
    </row>
    <row r="200" spans="1:20" x14ac:dyDescent="0.25">
      <c r="A200" s="3">
        <v>63</v>
      </c>
      <c r="B200" s="3">
        <v>0</v>
      </c>
      <c r="C200" s="3">
        <v>4</v>
      </c>
      <c r="D200" s="3">
        <v>108</v>
      </c>
      <c r="E200" s="3">
        <v>269</v>
      </c>
      <c r="F200" s="3">
        <v>0</v>
      </c>
      <c r="G200" s="3">
        <v>0</v>
      </c>
      <c r="H200" s="3">
        <v>169</v>
      </c>
      <c r="I200" s="3">
        <v>1</v>
      </c>
      <c r="J200" s="3">
        <v>1.8</v>
      </c>
      <c r="K200" s="3">
        <v>2</v>
      </c>
      <c r="L200" s="3">
        <v>2</v>
      </c>
      <c r="M200" s="3">
        <v>3</v>
      </c>
      <c r="N200" s="3">
        <v>1</v>
      </c>
      <c r="O200" s="7">
        <f t="shared" si="19"/>
        <v>0.92820187999999781</v>
      </c>
      <c r="P200" s="7">
        <f t="shared" si="20"/>
        <v>0.71671034357893948</v>
      </c>
      <c r="Q200" s="7">
        <f t="shared" si="21"/>
        <v>1</v>
      </c>
      <c r="R200" s="3">
        <f t="shared" si="22"/>
        <v>0</v>
      </c>
      <c r="S200" s="3">
        <f t="shared" si="23"/>
        <v>0.71671034357893948</v>
      </c>
      <c r="T200" s="3">
        <f t="shared" si="24"/>
        <v>-0.33308350385682783</v>
      </c>
    </row>
    <row r="201" spans="1:20" x14ac:dyDescent="0.25">
      <c r="A201" s="3">
        <v>34</v>
      </c>
      <c r="B201" s="3">
        <v>0</v>
      </c>
      <c r="C201" s="3">
        <v>2</v>
      </c>
      <c r="D201" s="3">
        <v>118</v>
      </c>
      <c r="E201" s="3">
        <v>210</v>
      </c>
      <c r="F201" s="3">
        <v>0</v>
      </c>
      <c r="G201" s="3">
        <v>0</v>
      </c>
      <c r="H201" s="3">
        <v>192</v>
      </c>
      <c r="I201" s="3">
        <v>0</v>
      </c>
      <c r="J201" s="3">
        <v>0.7</v>
      </c>
      <c r="K201" s="3">
        <v>1</v>
      </c>
      <c r="L201" s="3">
        <v>0</v>
      </c>
      <c r="M201" s="3">
        <v>3</v>
      </c>
      <c r="N201" s="3">
        <v>0</v>
      </c>
      <c r="O201" s="7">
        <f t="shared" si="19"/>
        <v>-5.3842566155000018</v>
      </c>
      <c r="P201" s="7">
        <f t="shared" si="20"/>
        <v>4.5672940024254639E-3</v>
      </c>
      <c r="Q201" s="7">
        <f t="shared" si="21"/>
        <v>0</v>
      </c>
      <c r="R201" s="3">
        <f t="shared" si="22"/>
        <v>0</v>
      </c>
      <c r="S201" s="3">
        <f t="shared" si="23"/>
        <v>0.9954327059975745</v>
      </c>
      <c r="T201" s="3">
        <f t="shared" si="24"/>
        <v>-4.5777559570468291E-3</v>
      </c>
    </row>
    <row r="202" spans="1:20" x14ac:dyDescent="0.25">
      <c r="A202" s="3">
        <v>54</v>
      </c>
      <c r="B202" s="3">
        <v>0</v>
      </c>
      <c r="C202" s="3">
        <v>3</v>
      </c>
      <c r="D202" s="3">
        <v>160</v>
      </c>
      <c r="E202" s="3">
        <v>201</v>
      </c>
      <c r="F202" s="3">
        <v>0</v>
      </c>
      <c r="G202" s="3">
        <v>0</v>
      </c>
      <c r="H202" s="3">
        <v>163</v>
      </c>
      <c r="I202" s="3">
        <v>0</v>
      </c>
      <c r="J202" s="3">
        <v>0</v>
      </c>
      <c r="K202" s="3">
        <v>1</v>
      </c>
      <c r="L202" s="3">
        <v>1</v>
      </c>
      <c r="M202" s="3">
        <v>3</v>
      </c>
      <c r="N202" s="3">
        <v>0</v>
      </c>
      <c r="O202" s="7">
        <f t="shared" si="19"/>
        <v>-1.6412187670000016</v>
      </c>
      <c r="P202" s="7">
        <f t="shared" si="20"/>
        <v>0.16229929296689805</v>
      </c>
      <c r="Q202" s="7">
        <f t="shared" si="21"/>
        <v>0</v>
      </c>
      <c r="R202" s="3">
        <f t="shared" si="22"/>
        <v>0</v>
      </c>
      <c r="S202" s="3">
        <f t="shared" si="23"/>
        <v>0.83770070703310195</v>
      </c>
      <c r="T202" s="3">
        <f t="shared" si="24"/>
        <v>-0.17709439380565653</v>
      </c>
    </row>
    <row r="203" spans="1:20" x14ac:dyDescent="0.25">
      <c r="A203" s="3">
        <v>42</v>
      </c>
      <c r="B203" s="3">
        <v>1</v>
      </c>
      <c r="C203" s="3">
        <v>2</v>
      </c>
      <c r="D203" s="3">
        <v>120</v>
      </c>
      <c r="E203" s="3">
        <v>295</v>
      </c>
      <c r="F203" s="3">
        <v>0</v>
      </c>
      <c r="G203" s="3">
        <v>0</v>
      </c>
      <c r="H203" s="3">
        <v>162</v>
      </c>
      <c r="I203" s="3">
        <v>0</v>
      </c>
      <c r="J203" s="3">
        <v>0</v>
      </c>
      <c r="K203" s="3">
        <v>1</v>
      </c>
      <c r="L203" s="3">
        <v>0</v>
      </c>
      <c r="M203" s="3">
        <v>3</v>
      </c>
      <c r="N203" s="3">
        <v>0</v>
      </c>
      <c r="O203" s="7">
        <f t="shared" si="19"/>
        <v>-3.8199474560000013</v>
      </c>
      <c r="P203" s="7">
        <f t="shared" si="20"/>
        <v>2.1458393005115248E-2</v>
      </c>
      <c r="Q203" s="7">
        <f t="shared" si="21"/>
        <v>0</v>
      </c>
      <c r="R203" s="3">
        <f t="shared" si="22"/>
        <v>0</v>
      </c>
      <c r="S203" s="3">
        <f t="shared" si="23"/>
        <v>0.97854160699488479</v>
      </c>
      <c r="T203" s="3">
        <f t="shared" si="24"/>
        <v>-2.1691971849306917E-2</v>
      </c>
    </row>
    <row r="204" spans="1:20" x14ac:dyDescent="0.25">
      <c r="A204" s="3">
        <v>41</v>
      </c>
      <c r="B204" s="3">
        <v>1</v>
      </c>
      <c r="C204" s="3">
        <v>2</v>
      </c>
      <c r="D204" s="3">
        <v>110</v>
      </c>
      <c r="E204" s="3">
        <v>235</v>
      </c>
      <c r="F204" s="3">
        <v>0</v>
      </c>
      <c r="G204" s="3">
        <v>0</v>
      </c>
      <c r="H204" s="3">
        <v>153</v>
      </c>
      <c r="I204" s="3">
        <v>0</v>
      </c>
      <c r="J204" s="3">
        <v>0</v>
      </c>
      <c r="K204" s="3">
        <v>1</v>
      </c>
      <c r="L204" s="3">
        <v>0</v>
      </c>
      <c r="M204" s="3">
        <v>3</v>
      </c>
      <c r="N204" s="3">
        <v>0</v>
      </c>
      <c r="O204" s="7">
        <f t="shared" si="19"/>
        <v>-4.076303449000001</v>
      </c>
      <c r="P204" s="7">
        <f t="shared" si="20"/>
        <v>1.6686902538796948E-2</v>
      </c>
      <c r="Q204" s="7">
        <f t="shared" si="21"/>
        <v>0</v>
      </c>
      <c r="R204" s="3">
        <f t="shared" si="22"/>
        <v>0</v>
      </c>
      <c r="S204" s="3">
        <f t="shared" si="23"/>
        <v>0.9833130974612031</v>
      </c>
      <c r="T204" s="3">
        <f t="shared" si="24"/>
        <v>-1.682769738114253E-2</v>
      </c>
    </row>
    <row r="205" spans="1:20" x14ac:dyDescent="0.25">
      <c r="A205" s="3">
        <v>61</v>
      </c>
      <c r="B205" s="3">
        <v>1</v>
      </c>
      <c r="C205" s="3">
        <v>1</v>
      </c>
      <c r="D205" s="3">
        <v>134</v>
      </c>
      <c r="E205" s="3">
        <v>234</v>
      </c>
      <c r="F205" s="3">
        <v>0</v>
      </c>
      <c r="G205" s="3">
        <v>0</v>
      </c>
      <c r="H205" s="3">
        <v>145</v>
      </c>
      <c r="I205" s="3">
        <v>0</v>
      </c>
      <c r="J205" s="3">
        <v>2.6</v>
      </c>
      <c r="K205" s="3">
        <v>2</v>
      </c>
      <c r="L205" s="3">
        <v>2</v>
      </c>
      <c r="M205" s="3">
        <v>3</v>
      </c>
      <c r="N205" s="3">
        <v>1</v>
      </c>
      <c r="O205" s="7">
        <f t="shared" si="19"/>
        <v>3.3870386999998559E-2</v>
      </c>
      <c r="P205" s="7">
        <f t="shared" si="20"/>
        <v>0.50846678733840767</v>
      </c>
      <c r="Q205" s="7">
        <f t="shared" si="21"/>
        <v>1</v>
      </c>
      <c r="R205" s="3">
        <f t="shared" si="22"/>
        <v>0</v>
      </c>
      <c r="S205" s="3">
        <f t="shared" si="23"/>
        <v>0.50846678733840767</v>
      </c>
      <c r="T205" s="3">
        <f t="shared" si="24"/>
        <v>-0.67635538059535438</v>
      </c>
    </row>
    <row r="206" spans="1:20" x14ac:dyDescent="0.25">
      <c r="A206" s="3">
        <v>64</v>
      </c>
      <c r="B206" s="3">
        <v>1</v>
      </c>
      <c r="C206" s="3">
        <v>4</v>
      </c>
      <c r="D206" s="3">
        <v>128</v>
      </c>
      <c r="E206" s="3">
        <v>263</v>
      </c>
      <c r="F206" s="3">
        <v>0</v>
      </c>
      <c r="G206" s="3">
        <v>0</v>
      </c>
      <c r="H206" s="3">
        <v>105</v>
      </c>
      <c r="I206" s="3">
        <v>1</v>
      </c>
      <c r="J206" s="3">
        <v>0.2</v>
      </c>
      <c r="K206" s="3">
        <v>2</v>
      </c>
      <c r="L206" s="3">
        <v>1</v>
      </c>
      <c r="M206" s="3">
        <v>7</v>
      </c>
      <c r="N206" s="3">
        <v>0</v>
      </c>
      <c r="O206" s="7">
        <f t="shared" si="19"/>
        <v>3.2211838349999997</v>
      </c>
      <c r="P206" s="7">
        <f t="shared" si="20"/>
        <v>0.96162372607808455</v>
      </c>
      <c r="Q206" s="7">
        <f t="shared" si="21"/>
        <v>1</v>
      </c>
      <c r="R206" s="3">
        <f t="shared" si="22"/>
        <v>1</v>
      </c>
      <c r="S206" s="3">
        <f t="shared" si="23"/>
        <v>3.8376273921915449E-2</v>
      </c>
      <c r="T206" s="3">
        <f t="shared" si="24"/>
        <v>-3.2603158769634808</v>
      </c>
    </row>
    <row r="207" spans="1:20" x14ac:dyDescent="0.25">
      <c r="A207" s="3">
        <v>42</v>
      </c>
      <c r="B207" s="3">
        <v>0</v>
      </c>
      <c r="C207" s="3">
        <v>3</v>
      </c>
      <c r="D207" s="3">
        <v>120</v>
      </c>
      <c r="E207" s="3">
        <v>209</v>
      </c>
      <c r="F207" s="3">
        <v>0</v>
      </c>
      <c r="G207" s="3">
        <v>0</v>
      </c>
      <c r="H207" s="3">
        <v>173</v>
      </c>
      <c r="I207" s="3">
        <v>0</v>
      </c>
      <c r="J207" s="3">
        <v>0</v>
      </c>
      <c r="K207" s="3">
        <v>2</v>
      </c>
      <c r="L207" s="3">
        <v>0</v>
      </c>
      <c r="M207" s="3">
        <v>3</v>
      </c>
      <c r="N207" s="3">
        <v>0</v>
      </c>
      <c r="O207" s="7">
        <f t="shared" si="19"/>
        <v>-3.4826696070000018</v>
      </c>
      <c r="P207" s="7">
        <f t="shared" si="20"/>
        <v>2.9809375707312548E-2</v>
      </c>
      <c r="Q207" s="7">
        <f t="shared" si="21"/>
        <v>0</v>
      </c>
      <c r="R207" s="3">
        <f t="shared" si="22"/>
        <v>0</v>
      </c>
      <c r="S207" s="3">
        <f t="shared" si="23"/>
        <v>0.97019062429268743</v>
      </c>
      <c r="T207" s="3">
        <f t="shared" si="24"/>
        <v>-3.0262706902844022E-2</v>
      </c>
    </row>
    <row r="208" spans="1:20" x14ac:dyDescent="0.25">
      <c r="A208" s="3">
        <v>58</v>
      </c>
      <c r="B208" s="3">
        <v>0</v>
      </c>
      <c r="C208" s="3">
        <v>2</v>
      </c>
      <c r="D208" s="3">
        <v>136</v>
      </c>
      <c r="E208" s="3">
        <v>319</v>
      </c>
      <c r="F208" s="3">
        <v>1</v>
      </c>
      <c r="G208" s="3">
        <v>2</v>
      </c>
      <c r="H208" s="3">
        <v>152</v>
      </c>
      <c r="I208" s="3">
        <v>0</v>
      </c>
      <c r="J208" s="3">
        <v>0</v>
      </c>
      <c r="K208" s="3">
        <v>1</v>
      </c>
      <c r="L208" s="3">
        <v>2</v>
      </c>
      <c r="M208" s="3">
        <v>3</v>
      </c>
      <c r="N208" s="3">
        <v>1</v>
      </c>
      <c r="O208" s="7">
        <f t="shared" si="19"/>
        <v>-1.3558728180000017</v>
      </c>
      <c r="P208" s="7">
        <f t="shared" si="20"/>
        <v>0.20491189632695703</v>
      </c>
      <c r="Q208" s="7">
        <f t="shared" si="21"/>
        <v>0</v>
      </c>
      <c r="R208" s="3">
        <f t="shared" si="22"/>
        <v>1</v>
      </c>
      <c r="S208" s="3">
        <f t="shared" si="23"/>
        <v>0.20491189632695703</v>
      </c>
      <c r="T208" s="3">
        <f t="shared" si="24"/>
        <v>-1.5851751662378937</v>
      </c>
    </row>
    <row r="209" spans="1:20" x14ac:dyDescent="0.25">
      <c r="A209" s="3">
        <v>60</v>
      </c>
      <c r="B209" s="3">
        <v>0</v>
      </c>
      <c r="C209" s="3">
        <v>1</v>
      </c>
      <c r="D209" s="3">
        <v>150</v>
      </c>
      <c r="E209" s="3">
        <v>240</v>
      </c>
      <c r="F209" s="3">
        <v>0</v>
      </c>
      <c r="G209" s="3">
        <v>0</v>
      </c>
      <c r="H209" s="3">
        <v>171</v>
      </c>
      <c r="I209" s="3">
        <v>0</v>
      </c>
      <c r="J209" s="3">
        <v>0.9</v>
      </c>
      <c r="K209" s="3">
        <v>1</v>
      </c>
      <c r="L209" s="3">
        <v>0</v>
      </c>
      <c r="M209" s="3">
        <v>3</v>
      </c>
      <c r="N209" s="3">
        <v>0</v>
      </c>
      <c r="O209" s="7">
        <f t="shared" si="19"/>
        <v>-4.9577045575000005</v>
      </c>
      <c r="P209" s="7">
        <f t="shared" si="20"/>
        <v>6.9799814973544871E-3</v>
      </c>
      <c r="Q209" s="7">
        <f t="shared" si="21"/>
        <v>0</v>
      </c>
      <c r="R209" s="3">
        <f t="shared" si="22"/>
        <v>0</v>
      </c>
      <c r="S209" s="3">
        <f t="shared" si="23"/>
        <v>0.99302001850264554</v>
      </c>
      <c r="T209" s="3">
        <f t="shared" si="24"/>
        <v>-7.0044555201814289E-3</v>
      </c>
    </row>
    <row r="210" spans="1:20" x14ac:dyDescent="0.25">
      <c r="A210" s="3">
        <v>42</v>
      </c>
      <c r="B210" s="3">
        <v>1</v>
      </c>
      <c r="C210" s="3">
        <v>4</v>
      </c>
      <c r="D210" s="3">
        <v>136</v>
      </c>
      <c r="E210" s="3">
        <v>315</v>
      </c>
      <c r="F210" s="3">
        <v>0</v>
      </c>
      <c r="G210" s="3">
        <v>0</v>
      </c>
      <c r="H210" s="3">
        <v>125</v>
      </c>
      <c r="I210" s="3">
        <v>1</v>
      </c>
      <c r="J210" s="3">
        <v>1.8</v>
      </c>
      <c r="K210" s="3">
        <v>2</v>
      </c>
      <c r="L210" s="3">
        <v>0</v>
      </c>
      <c r="M210" s="3">
        <v>6</v>
      </c>
      <c r="N210" s="3">
        <v>1</v>
      </c>
      <c r="O210" s="7">
        <f t="shared" si="19"/>
        <v>2.0770361649999991</v>
      </c>
      <c r="P210" s="7">
        <f t="shared" si="20"/>
        <v>0.88865109850149759</v>
      </c>
      <c r="Q210" s="7">
        <f t="shared" si="21"/>
        <v>1</v>
      </c>
      <c r="R210" s="3">
        <f t="shared" si="22"/>
        <v>0</v>
      </c>
      <c r="S210" s="3">
        <f t="shared" si="23"/>
        <v>0.88865109850149759</v>
      </c>
      <c r="T210" s="3">
        <f t="shared" si="24"/>
        <v>-0.11805058563050119</v>
      </c>
    </row>
    <row r="211" spans="1:20" x14ac:dyDescent="0.25">
      <c r="A211" s="3">
        <v>61</v>
      </c>
      <c r="B211" s="3">
        <v>1</v>
      </c>
      <c r="C211" s="3">
        <v>4</v>
      </c>
      <c r="D211" s="3">
        <v>140</v>
      </c>
      <c r="E211" s="3">
        <v>207</v>
      </c>
      <c r="F211" s="3">
        <v>0</v>
      </c>
      <c r="G211" s="3">
        <v>2</v>
      </c>
      <c r="H211" s="3">
        <v>138</v>
      </c>
      <c r="I211" s="3">
        <v>1</v>
      </c>
      <c r="J211" s="3">
        <v>1.9</v>
      </c>
      <c r="K211" s="3">
        <v>1</v>
      </c>
      <c r="L211" s="3">
        <v>1</v>
      </c>
      <c r="M211" s="3">
        <v>7</v>
      </c>
      <c r="N211" s="3">
        <v>1</v>
      </c>
      <c r="O211" s="7">
        <f t="shared" si="19"/>
        <v>2.8012937724999993</v>
      </c>
      <c r="P211" s="7">
        <f t="shared" si="20"/>
        <v>0.94274569710041811</v>
      </c>
      <c r="Q211" s="7">
        <f t="shared" si="21"/>
        <v>1</v>
      </c>
      <c r="R211" s="3">
        <f t="shared" si="22"/>
        <v>0</v>
      </c>
      <c r="S211" s="3">
        <f t="shared" si="23"/>
        <v>0.94274569710041811</v>
      </c>
      <c r="T211" s="3">
        <f t="shared" si="24"/>
        <v>-5.8958707054120374E-2</v>
      </c>
    </row>
    <row r="212" spans="1:20" x14ac:dyDescent="0.25">
      <c r="A212" s="3">
        <v>66</v>
      </c>
      <c r="B212" s="3">
        <v>1</v>
      </c>
      <c r="C212" s="3">
        <v>4</v>
      </c>
      <c r="D212" s="3">
        <v>160</v>
      </c>
      <c r="E212" s="3">
        <v>228</v>
      </c>
      <c r="F212" s="3">
        <v>0</v>
      </c>
      <c r="G212" s="3">
        <v>2</v>
      </c>
      <c r="H212" s="3">
        <v>138</v>
      </c>
      <c r="I212" s="3">
        <v>0</v>
      </c>
      <c r="J212" s="3">
        <v>2.2999999999999998</v>
      </c>
      <c r="K212" s="3">
        <v>1</v>
      </c>
      <c r="L212" s="3">
        <v>0</v>
      </c>
      <c r="M212" s="3">
        <v>6</v>
      </c>
      <c r="N212" s="3">
        <v>0</v>
      </c>
      <c r="O212" s="7">
        <f t="shared" si="19"/>
        <v>1.0667258704999991</v>
      </c>
      <c r="P212" s="7">
        <f t="shared" si="20"/>
        <v>0.74397376844438279</v>
      </c>
      <c r="Q212" s="7">
        <f t="shared" si="21"/>
        <v>1</v>
      </c>
      <c r="R212" s="3">
        <f t="shared" si="22"/>
        <v>1</v>
      </c>
      <c r="S212" s="3">
        <f t="shared" si="23"/>
        <v>0.25602623155561721</v>
      </c>
      <c r="T212" s="3">
        <f t="shared" si="24"/>
        <v>-1.3624753727378307</v>
      </c>
    </row>
    <row r="213" spans="1:20" x14ac:dyDescent="0.25">
      <c r="A213" s="3">
        <v>66</v>
      </c>
      <c r="B213" s="3">
        <v>0</v>
      </c>
      <c r="C213" s="3">
        <v>3</v>
      </c>
      <c r="D213" s="3">
        <v>146</v>
      </c>
      <c r="E213" s="3">
        <v>278</v>
      </c>
      <c r="F213" s="3">
        <v>0</v>
      </c>
      <c r="G213" s="3">
        <v>2</v>
      </c>
      <c r="H213" s="3">
        <v>152</v>
      </c>
      <c r="I213" s="3">
        <v>0</v>
      </c>
      <c r="J213" s="3">
        <v>0</v>
      </c>
      <c r="K213" s="3">
        <v>2</v>
      </c>
      <c r="L213" s="3">
        <v>1</v>
      </c>
      <c r="M213" s="3">
        <v>3</v>
      </c>
      <c r="N213" s="3">
        <v>0</v>
      </c>
      <c r="O213" s="7">
        <f t="shared" si="19"/>
        <v>-0.45171516700000147</v>
      </c>
      <c r="P213" s="7">
        <f t="shared" si="20"/>
        <v>0.38895304719940715</v>
      </c>
      <c r="Q213" s="7">
        <f t="shared" si="21"/>
        <v>0</v>
      </c>
      <c r="R213" s="3">
        <f t="shared" si="22"/>
        <v>0</v>
      </c>
      <c r="S213" s="3">
        <f t="shared" si="23"/>
        <v>0.61104695280059285</v>
      </c>
      <c r="T213" s="3">
        <f t="shared" si="24"/>
        <v>-0.49258147693554688</v>
      </c>
    </row>
    <row r="214" spans="1:20" x14ac:dyDescent="0.25">
      <c r="A214" s="3">
        <v>58</v>
      </c>
      <c r="B214" s="3">
        <v>0</v>
      </c>
      <c r="C214" s="3">
        <v>4</v>
      </c>
      <c r="D214" s="3">
        <v>130</v>
      </c>
      <c r="E214" s="3">
        <v>197</v>
      </c>
      <c r="F214" s="3">
        <v>0</v>
      </c>
      <c r="G214" s="3">
        <v>0</v>
      </c>
      <c r="H214" s="3">
        <v>131</v>
      </c>
      <c r="I214" s="3">
        <v>0</v>
      </c>
      <c r="J214" s="3">
        <v>0.6</v>
      </c>
      <c r="K214" s="3">
        <v>2</v>
      </c>
      <c r="L214" s="3">
        <v>0</v>
      </c>
      <c r="M214" s="3">
        <v>3</v>
      </c>
      <c r="N214" s="3">
        <v>0</v>
      </c>
      <c r="O214" s="7">
        <f t="shared" si="19"/>
        <v>-1.5281950190000009</v>
      </c>
      <c r="P214" s="7">
        <f t="shared" si="20"/>
        <v>0.1782579295572552</v>
      </c>
      <c r="Q214" s="7">
        <f t="shared" si="21"/>
        <v>0</v>
      </c>
      <c r="R214" s="3">
        <f t="shared" si="22"/>
        <v>0</v>
      </c>
      <c r="S214" s="3">
        <f t="shared" si="23"/>
        <v>0.82174207044274483</v>
      </c>
      <c r="T214" s="3">
        <f t="shared" si="24"/>
        <v>-0.196328716082486</v>
      </c>
    </row>
    <row r="215" spans="1:20" x14ac:dyDescent="0.25">
      <c r="A215" s="3">
        <v>57</v>
      </c>
      <c r="B215" s="3">
        <v>1</v>
      </c>
      <c r="C215" s="3">
        <v>4</v>
      </c>
      <c r="D215" s="3">
        <v>110</v>
      </c>
      <c r="E215" s="3">
        <v>335</v>
      </c>
      <c r="F215" s="3">
        <v>0</v>
      </c>
      <c r="G215" s="3">
        <v>0</v>
      </c>
      <c r="H215" s="3">
        <v>143</v>
      </c>
      <c r="I215" s="3">
        <v>1</v>
      </c>
      <c r="J215" s="3">
        <v>3</v>
      </c>
      <c r="K215" s="3">
        <v>2</v>
      </c>
      <c r="L215" s="3">
        <v>1</v>
      </c>
      <c r="M215" s="3">
        <v>7</v>
      </c>
      <c r="N215" s="3">
        <v>1</v>
      </c>
      <c r="O215" s="7">
        <f t="shared" si="19"/>
        <v>2.7571344799999977</v>
      </c>
      <c r="P215" s="7">
        <f t="shared" si="20"/>
        <v>0.94031501610920976</v>
      </c>
      <c r="Q215" s="7">
        <f t="shared" si="21"/>
        <v>1</v>
      </c>
      <c r="R215" s="3">
        <f t="shared" si="22"/>
        <v>0</v>
      </c>
      <c r="S215" s="3">
        <f t="shared" si="23"/>
        <v>0.94031501610920976</v>
      </c>
      <c r="T215" s="3">
        <f t="shared" si="24"/>
        <v>-6.1540336338996027E-2</v>
      </c>
    </row>
    <row r="216" spans="1:20" x14ac:dyDescent="0.25">
      <c r="A216" s="3">
        <v>55</v>
      </c>
      <c r="B216" s="3">
        <v>0</v>
      </c>
      <c r="C216" s="3">
        <v>4</v>
      </c>
      <c r="D216" s="3">
        <v>128</v>
      </c>
      <c r="E216" s="3">
        <v>205</v>
      </c>
      <c r="F216" s="3">
        <v>0</v>
      </c>
      <c r="G216" s="3">
        <v>1</v>
      </c>
      <c r="H216" s="3">
        <v>130</v>
      </c>
      <c r="I216" s="3">
        <v>1</v>
      </c>
      <c r="J216" s="3">
        <v>2</v>
      </c>
      <c r="K216" s="3">
        <v>2</v>
      </c>
      <c r="L216" s="3">
        <v>1</v>
      </c>
      <c r="M216" s="3">
        <v>7</v>
      </c>
      <c r="N216" s="3">
        <v>1</v>
      </c>
      <c r="O216" s="7">
        <f t="shared" si="19"/>
        <v>2.3907408429999997</v>
      </c>
      <c r="P216" s="7">
        <f t="shared" si="20"/>
        <v>0.91611851601797445</v>
      </c>
      <c r="Q216" s="7">
        <f t="shared" si="21"/>
        <v>1</v>
      </c>
      <c r="R216" s="3">
        <f t="shared" si="22"/>
        <v>0</v>
      </c>
      <c r="S216" s="3">
        <f t="shared" si="23"/>
        <v>0.91611851601797445</v>
      </c>
      <c r="T216" s="3">
        <f t="shared" si="24"/>
        <v>-8.7609538378334559E-2</v>
      </c>
    </row>
    <row r="217" spans="1:20" x14ac:dyDescent="0.25">
      <c r="A217" s="3">
        <v>67</v>
      </c>
      <c r="B217" s="3">
        <v>1</v>
      </c>
      <c r="C217" s="3">
        <v>3</v>
      </c>
      <c r="D217" s="3">
        <v>152</v>
      </c>
      <c r="E217" s="3">
        <v>212</v>
      </c>
      <c r="F217" s="3">
        <v>0</v>
      </c>
      <c r="G217" s="3">
        <v>2</v>
      </c>
      <c r="H217" s="3">
        <v>150</v>
      </c>
      <c r="I217" s="3">
        <v>0</v>
      </c>
      <c r="J217" s="3">
        <v>0.8</v>
      </c>
      <c r="K217" s="3">
        <v>2</v>
      </c>
      <c r="L217" s="3">
        <v>0</v>
      </c>
      <c r="M217" s="3">
        <v>7</v>
      </c>
      <c r="N217" s="3">
        <v>1</v>
      </c>
      <c r="O217" s="7">
        <f t="shared" si="19"/>
        <v>0.50226723599999801</v>
      </c>
      <c r="P217" s="7">
        <f t="shared" si="20"/>
        <v>0.6229919919599467</v>
      </c>
      <c r="Q217" s="7">
        <f t="shared" si="21"/>
        <v>1</v>
      </c>
      <c r="R217" s="3">
        <f t="shared" si="22"/>
        <v>0</v>
      </c>
      <c r="S217" s="3">
        <f t="shared" si="23"/>
        <v>0.6229919919599467</v>
      </c>
      <c r="T217" s="3">
        <f t="shared" si="24"/>
        <v>-0.47322161427417253</v>
      </c>
    </row>
    <row r="218" spans="1:20" x14ac:dyDescent="0.25">
      <c r="A218" s="3">
        <v>63</v>
      </c>
      <c r="B218" s="3">
        <v>0</v>
      </c>
      <c r="C218" s="3">
        <v>4</v>
      </c>
      <c r="D218" s="3">
        <v>124</v>
      </c>
      <c r="E218" s="3">
        <v>197</v>
      </c>
      <c r="F218" s="3">
        <v>0</v>
      </c>
      <c r="G218" s="3">
        <v>0</v>
      </c>
      <c r="H218" s="3">
        <v>136</v>
      </c>
      <c r="I218" s="3">
        <v>1</v>
      </c>
      <c r="J218" s="3">
        <v>0</v>
      </c>
      <c r="K218" s="3">
        <v>2</v>
      </c>
      <c r="L218" s="3">
        <v>0</v>
      </c>
      <c r="M218" s="3">
        <v>3</v>
      </c>
      <c r="N218" s="3">
        <v>1</v>
      </c>
      <c r="O218" s="7">
        <f t="shared" si="19"/>
        <v>-1.2797277990000007</v>
      </c>
      <c r="P218" s="7">
        <f t="shared" si="20"/>
        <v>0.21759656177154593</v>
      </c>
      <c r="Q218" s="7">
        <f t="shared" si="21"/>
        <v>0</v>
      </c>
      <c r="R218" s="3">
        <f t="shared" si="22"/>
        <v>1</v>
      </c>
      <c r="S218" s="3">
        <f t="shared" si="23"/>
        <v>0.21759656177154593</v>
      </c>
      <c r="T218" s="3">
        <f t="shared" si="24"/>
        <v>-1.5251125648074153</v>
      </c>
    </row>
    <row r="219" spans="1:20" x14ac:dyDescent="0.25">
      <c r="A219" s="3">
        <v>41</v>
      </c>
      <c r="B219" s="3">
        <v>1</v>
      </c>
      <c r="C219" s="3">
        <v>2</v>
      </c>
      <c r="D219" s="3">
        <v>120</v>
      </c>
      <c r="E219" s="3">
        <v>157</v>
      </c>
      <c r="F219" s="3">
        <v>0</v>
      </c>
      <c r="G219" s="3">
        <v>0</v>
      </c>
      <c r="H219" s="3">
        <v>182</v>
      </c>
      <c r="I219" s="3">
        <v>0</v>
      </c>
      <c r="J219" s="3">
        <v>0</v>
      </c>
      <c r="K219" s="3">
        <v>1</v>
      </c>
      <c r="L219" s="3">
        <v>0</v>
      </c>
      <c r="M219" s="3">
        <v>3</v>
      </c>
      <c r="N219" s="3">
        <v>0</v>
      </c>
      <c r="O219" s="7">
        <f t="shared" si="19"/>
        <v>-4.568894965000001</v>
      </c>
      <c r="P219" s="7">
        <f t="shared" si="20"/>
        <v>1.0262990772841384E-2</v>
      </c>
      <c r="Q219" s="7">
        <f t="shared" si="21"/>
        <v>0</v>
      </c>
      <c r="R219" s="3">
        <f t="shared" si="22"/>
        <v>0</v>
      </c>
      <c r="S219" s="3">
        <f t="shared" si="23"/>
        <v>0.98973700922715857</v>
      </c>
      <c r="T219" s="3">
        <f t="shared" si="24"/>
        <v>-1.0316018389275297E-2</v>
      </c>
    </row>
    <row r="223" spans="1:20" x14ac:dyDescent="0.25">
      <c r="A223" s="2" t="s">
        <v>30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" t="s">
        <v>31</v>
      </c>
      <c r="O223" s="4" t="s">
        <v>28</v>
      </c>
      <c r="P223" s="4" t="s">
        <v>29</v>
      </c>
      <c r="Q223" s="4" t="s">
        <v>32</v>
      </c>
      <c r="R223" s="4" t="s">
        <v>33</v>
      </c>
    </row>
    <row r="224" spans="1:20" x14ac:dyDescent="0.25">
      <c r="A224">
        <v>63</v>
      </c>
      <c r="B224">
        <v>1</v>
      </c>
      <c r="C224">
        <v>1</v>
      </c>
      <c r="D224">
        <v>145</v>
      </c>
      <c r="E224">
        <v>233</v>
      </c>
      <c r="F224">
        <v>1</v>
      </c>
      <c r="G224">
        <v>2</v>
      </c>
      <c r="H224">
        <v>150</v>
      </c>
      <c r="I224">
        <v>0</v>
      </c>
      <c r="J224">
        <v>2.2999999999999998</v>
      </c>
      <c r="K224">
        <v>3</v>
      </c>
      <c r="L224">
        <v>0</v>
      </c>
      <c r="M224">
        <v>6</v>
      </c>
      <c r="N224">
        <v>0</v>
      </c>
      <c r="O224" s="3">
        <f>SUMPRODUCT(A$4:M$4, A224:M224)+N$4</f>
        <v>-0.88894513150000165</v>
      </c>
      <c r="P224" s="3">
        <f>1/(1+EXP(0-O224))</f>
        <v>0.29132756322022274</v>
      </c>
      <c r="Q224" s="3">
        <f>IF(P224&lt;0.5,0,1)</f>
        <v>0</v>
      </c>
      <c r="R224" s="3">
        <f>IF(N224=Q224,0,1)</f>
        <v>0</v>
      </c>
    </row>
    <row r="225" spans="1:18" x14ac:dyDescent="0.25">
      <c r="A225">
        <v>67</v>
      </c>
      <c r="B225">
        <v>1</v>
      </c>
      <c r="C225">
        <v>4</v>
      </c>
      <c r="D225">
        <v>120</v>
      </c>
      <c r="E225">
        <v>229</v>
      </c>
      <c r="F225">
        <v>0</v>
      </c>
      <c r="G225">
        <v>2</v>
      </c>
      <c r="H225">
        <v>129</v>
      </c>
      <c r="I225">
        <v>1</v>
      </c>
      <c r="J225">
        <v>2.6</v>
      </c>
      <c r="K225">
        <v>2</v>
      </c>
      <c r="L225">
        <v>2</v>
      </c>
      <c r="M225">
        <v>7</v>
      </c>
      <c r="N225">
        <v>1</v>
      </c>
      <c r="O225" s="3">
        <f t="shared" ref="O225:O288" si="25">SUMPRODUCT(A$4:M$4, A225:M225)+N$4</f>
        <v>4.7810549350000002</v>
      </c>
      <c r="P225" s="3">
        <f t="shared" ref="P225:P288" si="26">1/(1+EXP(0-O225))</f>
        <v>0.99168261274007174</v>
      </c>
      <c r="Q225" s="3">
        <f t="shared" ref="Q225:Q288" si="27">IF(P225&lt;0.5,0,1)</f>
        <v>1</v>
      </c>
      <c r="R225" s="3">
        <f t="shared" ref="R225:R288" si="28">IF(N225=Q225,0,1)</f>
        <v>0</v>
      </c>
    </row>
    <row r="226" spans="1:18" x14ac:dyDescent="0.25">
      <c r="A226">
        <v>37</v>
      </c>
      <c r="B226">
        <v>1</v>
      </c>
      <c r="C226">
        <v>3</v>
      </c>
      <c r="D226">
        <v>130</v>
      </c>
      <c r="E226">
        <v>250</v>
      </c>
      <c r="F226">
        <v>0</v>
      </c>
      <c r="G226">
        <v>0</v>
      </c>
      <c r="H226">
        <v>187</v>
      </c>
      <c r="I226">
        <v>0</v>
      </c>
      <c r="J226">
        <v>3.5</v>
      </c>
      <c r="K226">
        <v>3</v>
      </c>
      <c r="L226">
        <v>0</v>
      </c>
      <c r="M226">
        <v>3</v>
      </c>
      <c r="N226">
        <v>0</v>
      </c>
      <c r="O226" s="3">
        <f t="shared" si="25"/>
        <v>-0.74702144450000052</v>
      </c>
      <c r="P226" s="3">
        <f t="shared" si="26"/>
        <v>0.32147065923511026</v>
      </c>
      <c r="Q226" s="3">
        <f t="shared" si="27"/>
        <v>0</v>
      </c>
      <c r="R226" s="3">
        <f t="shared" si="28"/>
        <v>0</v>
      </c>
    </row>
    <row r="227" spans="1:18" x14ac:dyDescent="0.25">
      <c r="A227">
        <v>41</v>
      </c>
      <c r="B227">
        <v>0</v>
      </c>
      <c r="C227">
        <v>2</v>
      </c>
      <c r="D227">
        <v>130</v>
      </c>
      <c r="E227">
        <v>204</v>
      </c>
      <c r="F227">
        <v>0</v>
      </c>
      <c r="G227">
        <v>2</v>
      </c>
      <c r="H227">
        <v>172</v>
      </c>
      <c r="I227">
        <v>0</v>
      </c>
      <c r="J227">
        <v>1.4</v>
      </c>
      <c r="K227">
        <v>1</v>
      </c>
      <c r="L227">
        <v>0</v>
      </c>
      <c r="M227">
        <v>3</v>
      </c>
      <c r="N227">
        <v>0</v>
      </c>
      <c r="O227" s="3">
        <f t="shared" si="25"/>
        <v>-4.0479532040000006</v>
      </c>
      <c r="P227" s="3">
        <f t="shared" si="26"/>
        <v>1.7158516600947318E-2</v>
      </c>
      <c r="Q227" s="3">
        <f t="shared" si="27"/>
        <v>0</v>
      </c>
      <c r="R227" s="3">
        <f t="shared" si="28"/>
        <v>0</v>
      </c>
    </row>
    <row r="228" spans="1:18" x14ac:dyDescent="0.25">
      <c r="A228">
        <v>53</v>
      </c>
      <c r="B228">
        <v>1</v>
      </c>
      <c r="C228">
        <v>4</v>
      </c>
      <c r="D228">
        <v>140</v>
      </c>
      <c r="E228">
        <v>203</v>
      </c>
      <c r="F228">
        <v>1</v>
      </c>
      <c r="G228">
        <v>2</v>
      </c>
      <c r="H228">
        <v>155</v>
      </c>
      <c r="I228">
        <v>1</v>
      </c>
      <c r="J228">
        <v>3.1</v>
      </c>
      <c r="K228">
        <v>3</v>
      </c>
      <c r="L228">
        <v>0</v>
      </c>
      <c r="M228">
        <v>7</v>
      </c>
      <c r="N228">
        <v>1</v>
      </c>
      <c r="O228" s="3">
        <f t="shared" si="25"/>
        <v>2.6064603145000014</v>
      </c>
      <c r="P228" s="3">
        <f t="shared" si="26"/>
        <v>0.93127619897456582</v>
      </c>
      <c r="Q228" s="3">
        <f t="shared" si="27"/>
        <v>1</v>
      </c>
      <c r="R228" s="3">
        <f t="shared" si="28"/>
        <v>0</v>
      </c>
    </row>
    <row r="229" spans="1:18" x14ac:dyDescent="0.25">
      <c r="A229">
        <v>57</v>
      </c>
      <c r="B229">
        <v>1</v>
      </c>
      <c r="C229">
        <v>4</v>
      </c>
      <c r="D229">
        <v>140</v>
      </c>
      <c r="E229">
        <v>192</v>
      </c>
      <c r="F229">
        <v>0</v>
      </c>
      <c r="G229">
        <v>0</v>
      </c>
      <c r="H229">
        <v>148</v>
      </c>
      <c r="I229">
        <v>0</v>
      </c>
      <c r="J229">
        <v>0.4</v>
      </c>
      <c r="K229">
        <v>2</v>
      </c>
      <c r="L229">
        <v>0</v>
      </c>
      <c r="M229">
        <v>6</v>
      </c>
      <c r="N229">
        <v>0</v>
      </c>
      <c r="O229" s="3">
        <f t="shared" si="25"/>
        <v>0.19702291599999988</v>
      </c>
      <c r="P229" s="3">
        <f t="shared" si="26"/>
        <v>0.54909701088914731</v>
      </c>
      <c r="Q229" s="3">
        <f t="shared" si="27"/>
        <v>1</v>
      </c>
      <c r="R229" s="3">
        <f t="shared" si="28"/>
        <v>1</v>
      </c>
    </row>
    <row r="230" spans="1:18" x14ac:dyDescent="0.25">
      <c r="A230">
        <v>56</v>
      </c>
      <c r="B230">
        <v>1</v>
      </c>
      <c r="C230">
        <v>3</v>
      </c>
      <c r="D230">
        <v>130</v>
      </c>
      <c r="E230">
        <v>256</v>
      </c>
      <c r="F230">
        <v>1</v>
      </c>
      <c r="G230">
        <v>2</v>
      </c>
      <c r="H230">
        <v>142</v>
      </c>
      <c r="I230">
        <v>1</v>
      </c>
      <c r="J230">
        <v>0.6</v>
      </c>
      <c r="K230">
        <v>2</v>
      </c>
      <c r="L230">
        <v>1</v>
      </c>
      <c r="M230">
        <v>6</v>
      </c>
      <c r="N230">
        <v>1</v>
      </c>
      <c r="O230" s="3">
        <f t="shared" si="25"/>
        <v>1.5101644449999974</v>
      </c>
      <c r="P230" s="3">
        <f t="shared" si="26"/>
        <v>0.81908557630935208</v>
      </c>
      <c r="Q230" s="3">
        <f t="shared" si="27"/>
        <v>1</v>
      </c>
      <c r="R230" s="3">
        <f t="shared" si="28"/>
        <v>0</v>
      </c>
    </row>
    <row r="231" spans="1:18" x14ac:dyDescent="0.25">
      <c r="A231">
        <v>52</v>
      </c>
      <c r="B231">
        <v>1</v>
      </c>
      <c r="C231">
        <v>3</v>
      </c>
      <c r="D231">
        <v>172</v>
      </c>
      <c r="E231">
        <v>199</v>
      </c>
      <c r="F231">
        <v>1</v>
      </c>
      <c r="G231">
        <v>0</v>
      </c>
      <c r="H231">
        <v>162</v>
      </c>
      <c r="I231">
        <v>0</v>
      </c>
      <c r="J231">
        <v>0.5</v>
      </c>
      <c r="K231">
        <v>1</v>
      </c>
      <c r="L231">
        <v>0</v>
      </c>
      <c r="M231">
        <v>7</v>
      </c>
      <c r="N231">
        <v>0</v>
      </c>
      <c r="O231" s="3">
        <f t="shared" si="25"/>
        <v>-0.89930066049999891</v>
      </c>
      <c r="P231" s="3">
        <f t="shared" si="26"/>
        <v>0.28919423305597702</v>
      </c>
      <c r="Q231" s="3">
        <f t="shared" si="27"/>
        <v>0</v>
      </c>
      <c r="R231" s="3">
        <f t="shared" si="28"/>
        <v>0</v>
      </c>
    </row>
    <row r="232" spans="1:18" x14ac:dyDescent="0.25">
      <c r="A232">
        <v>48</v>
      </c>
      <c r="B232">
        <v>1</v>
      </c>
      <c r="C232">
        <v>2</v>
      </c>
      <c r="D232">
        <v>110</v>
      </c>
      <c r="E232">
        <v>229</v>
      </c>
      <c r="F232">
        <v>0</v>
      </c>
      <c r="G232">
        <v>0</v>
      </c>
      <c r="H232">
        <v>168</v>
      </c>
      <c r="I232">
        <v>0</v>
      </c>
      <c r="J232">
        <v>1</v>
      </c>
      <c r="K232">
        <v>3</v>
      </c>
      <c r="L232">
        <v>0</v>
      </c>
      <c r="M232">
        <v>7</v>
      </c>
      <c r="N232">
        <v>1</v>
      </c>
      <c r="O232" s="3">
        <f t="shared" si="25"/>
        <v>-1.3301307270000011</v>
      </c>
      <c r="P232" s="3">
        <f t="shared" si="26"/>
        <v>0.2091377422566198</v>
      </c>
      <c r="Q232" s="3">
        <f t="shared" si="27"/>
        <v>0</v>
      </c>
      <c r="R232" s="3">
        <f t="shared" si="28"/>
        <v>1</v>
      </c>
    </row>
    <row r="233" spans="1:18" x14ac:dyDescent="0.25">
      <c r="A233">
        <v>60</v>
      </c>
      <c r="B233">
        <v>1</v>
      </c>
      <c r="C233">
        <v>4</v>
      </c>
      <c r="D233">
        <v>130</v>
      </c>
      <c r="E233">
        <v>206</v>
      </c>
      <c r="F233">
        <v>0</v>
      </c>
      <c r="G233">
        <v>2</v>
      </c>
      <c r="H233">
        <v>132</v>
      </c>
      <c r="I233">
        <v>1</v>
      </c>
      <c r="J233">
        <v>2.4</v>
      </c>
      <c r="K233">
        <v>2</v>
      </c>
      <c r="L233">
        <v>2</v>
      </c>
      <c r="M233">
        <v>7</v>
      </c>
      <c r="N233">
        <v>1</v>
      </c>
      <c r="O233" s="3">
        <f t="shared" si="25"/>
        <v>5.0033743939999979</v>
      </c>
      <c r="P233" s="3">
        <f t="shared" si="26"/>
        <v>0.99332954493657177</v>
      </c>
      <c r="Q233" s="3">
        <f t="shared" si="27"/>
        <v>1</v>
      </c>
      <c r="R233" s="3">
        <f t="shared" si="28"/>
        <v>0</v>
      </c>
    </row>
    <row r="234" spans="1:18" x14ac:dyDescent="0.25">
      <c r="A234">
        <v>50</v>
      </c>
      <c r="B234">
        <v>0</v>
      </c>
      <c r="C234">
        <v>3</v>
      </c>
      <c r="D234">
        <v>120</v>
      </c>
      <c r="E234">
        <v>219</v>
      </c>
      <c r="F234">
        <v>0</v>
      </c>
      <c r="G234">
        <v>0</v>
      </c>
      <c r="H234">
        <v>158</v>
      </c>
      <c r="I234">
        <v>0</v>
      </c>
      <c r="J234">
        <v>1.6</v>
      </c>
      <c r="K234">
        <v>2</v>
      </c>
      <c r="L234">
        <v>0</v>
      </c>
      <c r="M234">
        <v>3</v>
      </c>
      <c r="N234">
        <v>0</v>
      </c>
      <c r="O234" s="3">
        <f t="shared" si="25"/>
        <v>-2.8681350629999995</v>
      </c>
      <c r="P234" s="3">
        <f t="shared" si="26"/>
        <v>5.3751427925683624E-2</v>
      </c>
      <c r="Q234" s="3">
        <f t="shared" si="27"/>
        <v>0</v>
      </c>
      <c r="R234" s="3">
        <f t="shared" si="28"/>
        <v>0</v>
      </c>
    </row>
    <row r="235" spans="1:18" x14ac:dyDescent="0.25">
      <c r="A235">
        <v>43</v>
      </c>
      <c r="B235">
        <v>1</v>
      </c>
      <c r="C235">
        <v>4</v>
      </c>
      <c r="D235">
        <v>150</v>
      </c>
      <c r="E235">
        <v>247</v>
      </c>
      <c r="F235">
        <v>0</v>
      </c>
      <c r="G235">
        <v>0</v>
      </c>
      <c r="H235">
        <v>171</v>
      </c>
      <c r="I235">
        <v>0</v>
      </c>
      <c r="J235">
        <v>1.5</v>
      </c>
      <c r="K235">
        <v>1</v>
      </c>
      <c r="L235">
        <v>0</v>
      </c>
      <c r="M235">
        <v>3</v>
      </c>
      <c r="N235">
        <v>0</v>
      </c>
      <c r="O235" s="3">
        <f t="shared" si="25"/>
        <v>-1.2024373664999999</v>
      </c>
      <c r="P235" s="3">
        <f t="shared" si="26"/>
        <v>0.231041906363916</v>
      </c>
      <c r="Q235" s="3">
        <f t="shared" si="27"/>
        <v>0</v>
      </c>
      <c r="R235" s="3">
        <f t="shared" si="28"/>
        <v>0</v>
      </c>
    </row>
    <row r="236" spans="1:18" x14ac:dyDescent="0.25">
      <c r="A236">
        <v>69</v>
      </c>
      <c r="B236">
        <v>0</v>
      </c>
      <c r="C236">
        <v>1</v>
      </c>
      <c r="D236">
        <v>140</v>
      </c>
      <c r="E236">
        <v>239</v>
      </c>
      <c r="F236">
        <v>0</v>
      </c>
      <c r="G236">
        <v>0</v>
      </c>
      <c r="H236">
        <v>151</v>
      </c>
      <c r="I236">
        <v>0</v>
      </c>
      <c r="J236">
        <v>1.8</v>
      </c>
      <c r="K236">
        <v>1</v>
      </c>
      <c r="L236">
        <v>2</v>
      </c>
      <c r="M236">
        <v>3</v>
      </c>
      <c r="N236">
        <v>0</v>
      </c>
      <c r="O236" s="3">
        <f t="shared" si="25"/>
        <v>-1.9341174640000007</v>
      </c>
      <c r="P236" s="3">
        <f t="shared" si="26"/>
        <v>0.12629553912083005</v>
      </c>
      <c r="Q236" s="3">
        <f t="shared" si="27"/>
        <v>0</v>
      </c>
      <c r="R236" s="3">
        <f t="shared" si="28"/>
        <v>0</v>
      </c>
    </row>
    <row r="237" spans="1:18" x14ac:dyDescent="0.25">
      <c r="A237">
        <v>43</v>
      </c>
      <c r="B237">
        <v>1</v>
      </c>
      <c r="C237">
        <v>4</v>
      </c>
      <c r="D237">
        <v>120</v>
      </c>
      <c r="E237">
        <v>177</v>
      </c>
      <c r="F237">
        <v>0</v>
      </c>
      <c r="G237">
        <v>2</v>
      </c>
      <c r="H237">
        <v>120</v>
      </c>
      <c r="I237">
        <v>1</v>
      </c>
      <c r="J237">
        <v>2.5</v>
      </c>
      <c r="K237">
        <v>2</v>
      </c>
      <c r="L237">
        <v>0</v>
      </c>
      <c r="M237">
        <v>7</v>
      </c>
      <c r="N237">
        <v>1</v>
      </c>
      <c r="O237" s="3">
        <f t="shared" si="25"/>
        <v>2.2773319814999979</v>
      </c>
      <c r="P237" s="3">
        <f t="shared" si="26"/>
        <v>0.90698220248066086</v>
      </c>
      <c r="Q237" s="3">
        <f t="shared" si="27"/>
        <v>1</v>
      </c>
      <c r="R237" s="3">
        <f t="shared" si="28"/>
        <v>0</v>
      </c>
    </row>
    <row r="238" spans="1:18" x14ac:dyDescent="0.25">
      <c r="A238">
        <v>59</v>
      </c>
      <c r="B238">
        <v>1</v>
      </c>
      <c r="C238">
        <v>3</v>
      </c>
      <c r="D238">
        <v>150</v>
      </c>
      <c r="E238">
        <v>212</v>
      </c>
      <c r="F238">
        <v>1</v>
      </c>
      <c r="G238">
        <v>0</v>
      </c>
      <c r="H238">
        <v>157</v>
      </c>
      <c r="I238">
        <v>0</v>
      </c>
      <c r="J238">
        <v>1.6</v>
      </c>
      <c r="K238">
        <v>1</v>
      </c>
      <c r="L238">
        <v>0</v>
      </c>
      <c r="M238">
        <v>3</v>
      </c>
      <c r="N238">
        <v>0</v>
      </c>
      <c r="O238" s="3">
        <f t="shared" si="25"/>
        <v>-2.4829681960000016</v>
      </c>
      <c r="P238" s="3">
        <f t="shared" si="26"/>
        <v>7.7060831543669495E-2</v>
      </c>
      <c r="Q238" s="3">
        <f t="shared" si="27"/>
        <v>0</v>
      </c>
      <c r="R238" s="3">
        <f t="shared" si="28"/>
        <v>0</v>
      </c>
    </row>
    <row r="239" spans="1:18" x14ac:dyDescent="0.25">
      <c r="A239">
        <v>58</v>
      </c>
      <c r="B239">
        <v>1</v>
      </c>
      <c r="C239">
        <v>3</v>
      </c>
      <c r="D239">
        <v>112</v>
      </c>
      <c r="E239">
        <v>230</v>
      </c>
      <c r="F239">
        <v>0</v>
      </c>
      <c r="G239">
        <v>2</v>
      </c>
      <c r="H239">
        <v>165</v>
      </c>
      <c r="I239">
        <v>0</v>
      </c>
      <c r="J239">
        <v>2.5</v>
      </c>
      <c r="K239">
        <v>2</v>
      </c>
      <c r="L239">
        <v>1</v>
      </c>
      <c r="M239">
        <v>7</v>
      </c>
      <c r="N239">
        <v>1</v>
      </c>
      <c r="O239" s="3">
        <f t="shared" si="25"/>
        <v>0.88631666949999754</v>
      </c>
      <c r="P239" s="3">
        <f t="shared" si="26"/>
        <v>0.70812947802413206</v>
      </c>
      <c r="Q239" s="3">
        <f t="shared" si="27"/>
        <v>1</v>
      </c>
      <c r="R239" s="3">
        <f t="shared" si="28"/>
        <v>0</v>
      </c>
    </row>
    <row r="240" spans="1:18" x14ac:dyDescent="0.25">
      <c r="A240">
        <v>53</v>
      </c>
      <c r="B240">
        <v>1</v>
      </c>
      <c r="C240">
        <v>3</v>
      </c>
      <c r="D240">
        <v>130</v>
      </c>
      <c r="E240">
        <v>197</v>
      </c>
      <c r="F240">
        <v>1</v>
      </c>
      <c r="G240">
        <v>2</v>
      </c>
      <c r="H240">
        <v>152</v>
      </c>
      <c r="I240">
        <v>0</v>
      </c>
      <c r="J240">
        <v>1.2</v>
      </c>
      <c r="K240">
        <v>3</v>
      </c>
      <c r="L240">
        <v>0</v>
      </c>
      <c r="M240">
        <v>3</v>
      </c>
      <c r="N240">
        <v>0</v>
      </c>
      <c r="O240" s="3">
        <f t="shared" si="25"/>
        <v>-0.8638924690000005</v>
      </c>
      <c r="P240" s="3">
        <f t="shared" si="26"/>
        <v>0.29652673937691898</v>
      </c>
      <c r="Q240" s="3">
        <f t="shared" si="27"/>
        <v>0</v>
      </c>
      <c r="R240" s="3">
        <f t="shared" si="28"/>
        <v>0</v>
      </c>
    </row>
    <row r="241" spans="1:18" x14ac:dyDescent="0.25">
      <c r="A241">
        <v>44</v>
      </c>
      <c r="B241">
        <v>1</v>
      </c>
      <c r="C241">
        <v>4</v>
      </c>
      <c r="D241">
        <v>112</v>
      </c>
      <c r="E241">
        <v>290</v>
      </c>
      <c r="F241">
        <v>0</v>
      </c>
      <c r="G241">
        <v>2</v>
      </c>
      <c r="H241">
        <v>153</v>
      </c>
      <c r="I241">
        <v>0</v>
      </c>
      <c r="J241">
        <v>0</v>
      </c>
      <c r="K241">
        <v>1</v>
      </c>
      <c r="L241">
        <v>1</v>
      </c>
      <c r="M241">
        <v>3</v>
      </c>
      <c r="N241">
        <v>1</v>
      </c>
      <c r="O241" s="3">
        <f t="shared" si="25"/>
        <v>-0.36192005799999905</v>
      </c>
      <c r="P241" s="3">
        <f t="shared" si="26"/>
        <v>0.41049485363433796</v>
      </c>
      <c r="Q241" s="3">
        <f t="shared" si="27"/>
        <v>0</v>
      </c>
      <c r="R241" s="3">
        <f t="shared" si="28"/>
        <v>1</v>
      </c>
    </row>
    <row r="242" spans="1:18" x14ac:dyDescent="0.25">
      <c r="A242">
        <v>51</v>
      </c>
      <c r="B242">
        <v>1</v>
      </c>
      <c r="C242">
        <v>1</v>
      </c>
      <c r="D242">
        <v>125</v>
      </c>
      <c r="E242">
        <v>213</v>
      </c>
      <c r="F242">
        <v>0</v>
      </c>
      <c r="G242">
        <v>2</v>
      </c>
      <c r="H242">
        <v>125</v>
      </c>
      <c r="I242">
        <v>1</v>
      </c>
      <c r="J242">
        <v>1.4</v>
      </c>
      <c r="K242">
        <v>1</v>
      </c>
      <c r="L242">
        <v>1</v>
      </c>
      <c r="M242">
        <v>3</v>
      </c>
      <c r="N242">
        <v>0</v>
      </c>
      <c r="O242" s="3">
        <f t="shared" si="25"/>
        <v>-1.0895072400000014</v>
      </c>
      <c r="P242" s="3">
        <f t="shared" si="26"/>
        <v>0.25171107967022349</v>
      </c>
      <c r="Q242" s="3">
        <f t="shared" si="27"/>
        <v>0</v>
      </c>
      <c r="R242" s="3">
        <f t="shared" si="28"/>
        <v>0</v>
      </c>
    </row>
    <row r="243" spans="1:18" x14ac:dyDescent="0.25">
      <c r="A243">
        <v>46</v>
      </c>
      <c r="B243">
        <v>0</v>
      </c>
      <c r="C243">
        <v>3</v>
      </c>
      <c r="D243">
        <v>142</v>
      </c>
      <c r="E243">
        <v>177</v>
      </c>
      <c r="F243">
        <v>0</v>
      </c>
      <c r="G243">
        <v>2</v>
      </c>
      <c r="H243">
        <v>160</v>
      </c>
      <c r="I243">
        <v>1</v>
      </c>
      <c r="J243">
        <v>1.4</v>
      </c>
      <c r="K243">
        <v>3</v>
      </c>
      <c r="L243">
        <v>0</v>
      </c>
      <c r="M243">
        <v>3</v>
      </c>
      <c r="N243">
        <v>0</v>
      </c>
      <c r="O243" s="3">
        <f t="shared" si="25"/>
        <v>-0.26666298700000013</v>
      </c>
      <c r="P243" s="3">
        <f t="shared" si="26"/>
        <v>0.43372650955926512</v>
      </c>
      <c r="Q243" s="3">
        <f t="shared" si="27"/>
        <v>0</v>
      </c>
      <c r="R243" s="3">
        <f t="shared" si="28"/>
        <v>0</v>
      </c>
    </row>
    <row r="244" spans="1:18" x14ac:dyDescent="0.25">
      <c r="A244">
        <v>54</v>
      </c>
      <c r="B244">
        <v>0</v>
      </c>
      <c r="C244">
        <v>3</v>
      </c>
      <c r="D244">
        <v>135</v>
      </c>
      <c r="E244">
        <v>304</v>
      </c>
      <c r="F244">
        <v>1</v>
      </c>
      <c r="G244">
        <v>0</v>
      </c>
      <c r="H244">
        <v>170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 s="3">
        <f t="shared" si="25"/>
        <v>-4.2128532720000011</v>
      </c>
      <c r="P244" s="3">
        <f t="shared" si="26"/>
        <v>1.4588104693229005E-2</v>
      </c>
      <c r="Q244" s="3">
        <f t="shared" si="27"/>
        <v>0</v>
      </c>
      <c r="R244" s="3">
        <f t="shared" si="28"/>
        <v>0</v>
      </c>
    </row>
    <row r="245" spans="1:18" x14ac:dyDescent="0.25">
      <c r="A245">
        <v>62</v>
      </c>
      <c r="B245">
        <v>1</v>
      </c>
      <c r="C245">
        <v>4</v>
      </c>
      <c r="D245">
        <v>120</v>
      </c>
      <c r="E245">
        <v>267</v>
      </c>
      <c r="F245">
        <v>0</v>
      </c>
      <c r="G245">
        <v>0</v>
      </c>
      <c r="H245">
        <v>99</v>
      </c>
      <c r="I245">
        <v>1</v>
      </c>
      <c r="J245">
        <v>1.8</v>
      </c>
      <c r="K245">
        <v>2</v>
      </c>
      <c r="L245">
        <v>2</v>
      </c>
      <c r="M245">
        <v>7</v>
      </c>
      <c r="N245">
        <v>1</v>
      </c>
      <c r="O245" s="3">
        <f t="shared" si="25"/>
        <v>4.9012263239999996</v>
      </c>
      <c r="P245" s="3">
        <f t="shared" si="26"/>
        <v>0.99261745064702966</v>
      </c>
      <c r="Q245" s="3">
        <f t="shared" si="27"/>
        <v>1</v>
      </c>
      <c r="R245" s="3">
        <f t="shared" si="28"/>
        <v>0</v>
      </c>
    </row>
    <row r="246" spans="1:18" x14ac:dyDescent="0.25">
      <c r="A246">
        <v>44</v>
      </c>
      <c r="B246">
        <v>1</v>
      </c>
      <c r="C246">
        <v>4</v>
      </c>
      <c r="D246">
        <v>110</v>
      </c>
      <c r="E246">
        <v>197</v>
      </c>
      <c r="F246">
        <v>0</v>
      </c>
      <c r="G246">
        <v>2</v>
      </c>
      <c r="H246">
        <v>177</v>
      </c>
      <c r="I246">
        <v>0</v>
      </c>
      <c r="J246">
        <v>0</v>
      </c>
      <c r="K246">
        <v>1</v>
      </c>
      <c r="L246">
        <v>1</v>
      </c>
      <c r="M246">
        <v>3</v>
      </c>
      <c r="N246">
        <v>1</v>
      </c>
      <c r="O246" s="3">
        <f t="shared" si="25"/>
        <v>-1.1573485350000006</v>
      </c>
      <c r="P246" s="3">
        <f t="shared" si="26"/>
        <v>0.23914940395210466</v>
      </c>
      <c r="Q246" s="3">
        <f t="shared" si="27"/>
        <v>0</v>
      </c>
      <c r="R246" s="3">
        <f t="shared" si="28"/>
        <v>1</v>
      </c>
    </row>
    <row r="247" spans="1:18" x14ac:dyDescent="0.25">
      <c r="A247">
        <v>65</v>
      </c>
      <c r="B247">
        <v>0</v>
      </c>
      <c r="C247">
        <v>3</v>
      </c>
      <c r="D247">
        <v>160</v>
      </c>
      <c r="E247">
        <v>360</v>
      </c>
      <c r="F247">
        <v>0</v>
      </c>
      <c r="G247">
        <v>2</v>
      </c>
      <c r="H247">
        <v>151</v>
      </c>
      <c r="I247">
        <v>0</v>
      </c>
      <c r="J247">
        <v>0.8</v>
      </c>
      <c r="K247">
        <v>1</v>
      </c>
      <c r="L247">
        <v>0</v>
      </c>
      <c r="M247">
        <v>3</v>
      </c>
      <c r="N247">
        <v>0</v>
      </c>
      <c r="O247" s="3">
        <f t="shared" si="25"/>
        <v>-1.8656900280000004</v>
      </c>
      <c r="P247" s="3">
        <f t="shared" si="26"/>
        <v>0.13404121032972463</v>
      </c>
      <c r="Q247" s="3">
        <f t="shared" si="27"/>
        <v>0</v>
      </c>
      <c r="R247" s="3">
        <f t="shared" si="28"/>
        <v>0</v>
      </c>
    </row>
    <row r="248" spans="1:18" x14ac:dyDescent="0.25">
      <c r="A248">
        <v>68</v>
      </c>
      <c r="B248">
        <v>1</v>
      </c>
      <c r="C248">
        <v>3</v>
      </c>
      <c r="D248">
        <v>180</v>
      </c>
      <c r="E248">
        <v>274</v>
      </c>
      <c r="F248">
        <v>1</v>
      </c>
      <c r="G248">
        <v>2</v>
      </c>
      <c r="H248">
        <v>150</v>
      </c>
      <c r="I248">
        <v>1</v>
      </c>
      <c r="J248">
        <v>1.6</v>
      </c>
      <c r="K248">
        <v>2</v>
      </c>
      <c r="L248">
        <v>0</v>
      </c>
      <c r="M248">
        <v>7</v>
      </c>
      <c r="N248">
        <v>1</v>
      </c>
      <c r="O248" s="3">
        <f t="shared" si="25"/>
        <v>1.9236023759999998</v>
      </c>
      <c r="P248" s="3">
        <f t="shared" si="26"/>
        <v>0.87253960714602175</v>
      </c>
      <c r="Q248" s="3">
        <f t="shared" si="27"/>
        <v>1</v>
      </c>
      <c r="R248" s="3">
        <f t="shared" si="28"/>
        <v>0</v>
      </c>
    </row>
    <row r="249" spans="1:18" x14ac:dyDescent="0.25">
      <c r="A249">
        <v>53</v>
      </c>
      <c r="B249">
        <v>0</v>
      </c>
      <c r="C249">
        <v>4</v>
      </c>
      <c r="D249">
        <v>138</v>
      </c>
      <c r="E249">
        <v>234</v>
      </c>
      <c r="F249">
        <v>0</v>
      </c>
      <c r="G249">
        <v>2</v>
      </c>
      <c r="H249">
        <v>160</v>
      </c>
      <c r="I249">
        <v>0</v>
      </c>
      <c r="J249">
        <v>0</v>
      </c>
      <c r="K249">
        <v>1</v>
      </c>
      <c r="L249">
        <v>0</v>
      </c>
      <c r="M249">
        <v>3</v>
      </c>
      <c r="N249">
        <v>0</v>
      </c>
      <c r="O249" s="3">
        <f t="shared" si="25"/>
        <v>-2.2595207769999996</v>
      </c>
      <c r="P249" s="3">
        <f t="shared" si="26"/>
        <v>9.4531380168219367E-2</v>
      </c>
      <c r="Q249" s="3">
        <f t="shared" si="27"/>
        <v>0</v>
      </c>
      <c r="R249" s="3">
        <f t="shared" si="28"/>
        <v>0</v>
      </c>
    </row>
    <row r="250" spans="1:18" x14ac:dyDescent="0.25">
      <c r="A250">
        <v>63</v>
      </c>
      <c r="B250">
        <v>0</v>
      </c>
      <c r="C250">
        <v>3</v>
      </c>
      <c r="D250">
        <v>135</v>
      </c>
      <c r="E250">
        <v>252</v>
      </c>
      <c r="F250">
        <v>0</v>
      </c>
      <c r="G250">
        <v>2</v>
      </c>
      <c r="H250">
        <v>172</v>
      </c>
      <c r="I250">
        <v>0</v>
      </c>
      <c r="J250">
        <v>0</v>
      </c>
      <c r="K250">
        <v>1</v>
      </c>
      <c r="L250">
        <v>0</v>
      </c>
      <c r="M250">
        <v>3</v>
      </c>
      <c r="N250">
        <v>0</v>
      </c>
      <c r="O250" s="3">
        <f t="shared" si="25"/>
        <v>-3.505768262000001</v>
      </c>
      <c r="P250" s="3">
        <f t="shared" si="26"/>
        <v>2.914855110724494E-2</v>
      </c>
      <c r="Q250" s="3">
        <f t="shared" si="27"/>
        <v>0</v>
      </c>
      <c r="R250" s="3">
        <f t="shared" si="28"/>
        <v>0</v>
      </c>
    </row>
    <row r="251" spans="1:18" x14ac:dyDescent="0.25">
      <c r="A251">
        <v>48</v>
      </c>
      <c r="B251">
        <v>1</v>
      </c>
      <c r="C251">
        <v>4</v>
      </c>
      <c r="D251">
        <v>122</v>
      </c>
      <c r="E251">
        <v>222</v>
      </c>
      <c r="F251">
        <v>0</v>
      </c>
      <c r="G251">
        <v>2</v>
      </c>
      <c r="H251">
        <v>186</v>
      </c>
      <c r="I251">
        <v>0</v>
      </c>
      <c r="J251">
        <v>0</v>
      </c>
      <c r="K251">
        <v>1</v>
      </c>
      <c r="L251">
        <v>0</v>
      </c>
      <c r="M251">
        <v>3</v>
      </c>
      <c r="N251">
        <v>0</v>
      </c>
      <c r="O251" s="3">
        <f t="shared" si="25"/>
        <v>-2.3640088550000007</v>
      </c>
      <c r="P251" s="3">
        <f t="shared" si="26"/>
        <v>8.5958696313672658E-2</v>
      </c>
      <c r="Q251" s="3">
        <f t="shared" si="27"/>
        <v>0</v>
      </c>
      <c r="R251" s="3">
        <f t="shared" si="28"/>
        <v>0</v>
      </c>
    </row>
    <row r="252" spans="1:18" x14ac:dyDescent="0.25">
      <c r="A252">
        <v>45</v>
      </c>
      <c r="B252">
        <v>1</v>
      </c>
      <c r="C252">
        <v>4</v>
      </c>
      <c r="D252">
        <v>115</v>
      </c>
      <c r="E252">
        <v>260</v>
      </c>
      <c r="F252">
        <v>0</v>
      </c>
      <c r="G252">
        <v>2</v>
      </c>
      <c r="H252">
        <v>185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 s="3">
        <f t="shared" si="25"/>
        <v>-2.4324765339999992</v>
      </c>
      <c r="P252" s="3">
        <f t="shared" si="26"/>
        <v>8.0729487147784301E-2</v>
      </c>
      <c r="Q252" s="3">
        <f t="shared" si="27"/>
        <v>0</v>
      </c>
      <c r="R252" s="3">
        <f t="shared" si="28"/>
        <v>0</v>
      </c>
    </row>
    <row r="253" spans="1:18" x14ac:dyDescent="0.25">
      <c r="A253">
        <v>57</v>
      </c>
      <c r="B253">
        <v>0</v>
      </c>
      <c r="C253">
        <v>4</v>
      </c>
      <c r="D253">
        <v>128</v>
      </c>
      <c r="E253">
        <v>303</v>
      </c>
      <c r="F253">
        <v>0</v>
      </c>
      <c r="G253">
        <v>2</v>
      </c>
      <c r="H253">
        <v>159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 s="3">
        <f t="shared" si="25"/>
        <v>-1.0174593830000003</v>
      </c>
      <c r="P253" s="3">
        <f t="shared" si="26"/>
        <v>0.26552257726841844</v>
      </c>
      <c r="Q253" s="3">
        <f t="shared" si="27"/>
        <v>0</v>
      </c>
      <c r="R253" s="3">
        <f t="shared" si="28"/>
        <v>0</v>
      </c>
    </row>
    <row r="254" spans="1:18" x14ac:dyDescent="0.25">
      <c r="A254">
        <v>43</v>
      </c>
      <c r="B254">
        <v>0</v>
      </c>
      <c r="C254">
        <v>4</v>
      </c>
      <c r="D254">
        <v>132</v>
      </c>
      <c r="E254">
        <v>341</v>
      </c>
      <c r="F254">
        <v>1</v>
      </c>
      <c r="G254">
        <v>2</v>
      </c>
      <c r="H254">
        <v>136</v>
      </c>
      <c r="I254">
        <v>1</v>
      </c>
      <c r="J254">
        <v>3</v>
      </c>
      <c r="K254">
        <v>2</v>
      </c>
      <c r="L254">
        <v>0</v>
      </c>
      <c r="M254">
        <v>7</v>
      </c>
      <c r="N254">
        <v>1</v>
      </c>
      <c r="O254" s="3">
        <f t="shared" si="25"/>
        <v>1.4187600909999993</v>
      </c>
      <c r="P254" s="3">
        <f t="shared" si="26"/>
        <v>0.80514396420142553</v>
      </c>
      <c r="Q254" s="3">
        <f t="shared" si="27"/>
        <v>1</v>
      </c>
      <c r="R254" s="3">
        <f t="shared" si="28"/>
        <v>0</v>
      </c>
    </row>
    <row r="255" spans="1:18" x14ac:dyDescent="0.25">
      <c r="A255">
        <v>35</v>
      </c>
      <c r="B255">
        <v>0</v>
      </c>
      <c r="C255">
        <v>4</v>
      </c>
      <c r="D255">
        <v>138</v>
      </c>
      <c r="E255">
        <v>183</v>
      </c>
      <c r="F255">
        <v>0</v>
      </c>
      <c r="G255">
        <v>0</v>
      </c>
      <c r="H255">
        <v>182</v>
      </c>
      <c r="I255">
        <v>0</v>
      </c>
      <c r="J255">
        <v>1.4</v>
      </c>
      <c r="K255">
        <v>1</v>
      </c>
      <c r="L255">
        <v>0</v>
      </c>
      <c r="M255">
        <v>3</v>
      </c>
      <c r="N255">
        <v>0</v>
      </c>
      <c r="O255" s="3">
        <f t="shared" si="25"/>
        <v>-2.8065977830000008</v>
      </c>
      <c r="P255" s="3">
        <f t="shared" si="26"/>
        <v>5.6968683712119904E-2</v>
      </c>
      <c r="Q255" s="3">
        <f t="shared" si="27"/>
        <v>0</v>
      </c>
      <c r="R255" s="3">
        <f t="shared" si="28"/>
        <v>0</v>
      </c>
    </row>
    <row r="256" spans="1:18" x14ac:dyDescent="0.25">
      <c r="A256">
        <v>63</v>
      </c>
      <c r="B256">
        <v>0</v>
      </c>
      <c r="C256">
        <v>4</v>
      </c>
      <c r="D256">
        <v>150</v>
      </c>
      <c r="E256">
        <v>407</v>
      </c>
      <c r="F256">
        <v>0</v>
      </c>
      <c r="G256">
        <v>2</v>
      </c>
      <c r="H256">
        <v>154</v>
      </c>
      <c r="I256">
        <v>0</v>
      </c>
      <c r="J256">
        <v>4</v>
      </c>
      <c r="K256">
        <v>2</v>
      </c>
      <c r="L256">
        <v>3</v>
      </c>
      <c r="M256">
        <v>7</v>
      </c>
      <c r="N256">
        <v>1</v>
      </c>
      <c r="O256" s="3">
        <f t="shared" si="25"/>
        <v>5.7466944379999987</v>
      </c>
      <c r="P256" s="3">
        <f t="shared" si="26"/>
        <v>0.99681684574358331</v>
      </c>
      <c r="Q256" s="3">
        <f t="shared" si="27"/>
        <v>1</v>
      </c>
      <c r="R256" s="3">
        <f t="shared" si="28"/>
        <v>0</v>
      </c>
    </row>
    <row r="257" spans="1:18" x14ac:dyDescent="0.25">
      <c r="A257">
        <v>62</v>
      </c>
      <c r="B257">
        <v>0</v>
      </c>
      <c r="C257">
        <v>4</v>
      </c>
      <c r="D257">
        <v>124</v>
      </c>
      <c r="E257">
        <v>209</v>
      </c>
      <c r="F257">
        <v>0</v>
      </c>
      <c r="G257">
        <v>0</v>
      </c>
      <c r="H257">
        <v>163</v>
      </c>
      <c r="I257">
        <v>0</v>
      </c>
      <c r="J257">
        <v>0</v>
      </c>
      <c r="K257">
        <v>1</v>
      </c>
      <c r="L257">
        <v>0</v>
      </c>
      <c r="M257">
        <v>3</v>
      </c>
      <c r="N257">
        <v>0</v>
      </c>
      <c r="O257" s="3">
        <f t="shared" si="25"/>
        <v>-3.3959306310000015</v>
      </c>
      <c r="P257" s="3">
        <f t="shared" si="26"/>
        <v>3.2422884859669474E-2</v>
      </c>
      <c r="Q257" s="3">
        <f t="shared" si="27"/>
        <v>0</v>
      </c>
      <c r="R257" s="3">
        <f t="shared" si="28"/>
        <v>0</v>
      </c>
    </row>
    <row r="258" spans="1:18" x14ac:dyDescent="0.25">
      <c r="A258">
        <v>43</v>
      </c>
      <c r="B258">
        <v>0</v>
      </c>
      <c r="C258">
        <v>3</v>
      </c>
      <c r="D258">
        <v>122</v>
      </c>
      <c r="E258">
        <v>213</v>
      </c>
      <c r="F258">
        <v>0</v>
      </c>
      <c r="G258">
        <v>0</v>
      </c>
      <c r="H258">
        <v>165</v>
      </c>
      <c r="I258">
        <v>0</v>
      </c>
      <c r="J258">
        <v>0.2</v>
      </c>
      <c r="K258">
        <v>2</v>
      </c>
      <c r="L258">
        <v>0</v>
      </c>
      <c r="M258">
        <v>3</v>
      </c>
      <c r="N258">
        <v>0</v>
      </c>
      <c r="O258" s="3">
        <f t="shared" si="25"/>
        <v>-3.2083988970000012</v>
      </c>
      <c r="P258" s="3">
        <f t="shared" si="26"/>
        <v>3.8850877903230115E-2</v>
      </c>
      <c r="Q258" s="3">
        <f t="shared" si="27"/>
        <v>0</v>
      </c>
      <c r="R258" s="3">
        <f t="shared" si="28"/>
        <v>0</v>
      </c>
    </row>
    <row r="259" spans="1:18" x14ac:dyDescent="0.25">
      <c r="A259">
        <v>47</v>
      </c>
      <c r="B259">
        <v>1</v>
      </c>
      <c r="C259">
        <v>3</v>
      </c>
      <c r="D259">
        <v>108</v>
      </c>
      <c r="E259">
        <v>243</v>
      </c>
      <c r="F259">
        <v>0</v>
      </c>
      <c r="G259">
        <v>0</v>
      </c>
      <c r="H259">
        <v>152</v>
      </c>
      <c r="I259">
        <v>0</v>
      </c>
      <c r="J259">
        <v>0</v>
      </c>
      <c r="K259">
        <v>1</v>
      </c>
      <c r="L259">
        <v>0</v>
      </c>
      <c r="M259">
        <v>3</v>
      </c>
      <c r="N259">
        <v>1</v>
      </c>
      <c r="O259" s="3">
        <f t="shared" si="25"/>
        <v>-3.3308748740000009</v>
      </c>
      <c r="P259" s="3">
        <f t="shared" si="26"/>
        <v>3.4527054537182099E-2</v>
      </c>
      <c r="Q259" s="3">
        <f t="shared" si="27"/>
        <v>0</v>
      </c>
      <c r="R259" s="3">
        <f t="shared" si="28"/>
        <v>1</v>
      </c>
    </row>
    <row r="260" spans="1:18" x14ac:dyDescent="0.25">
      <c r="A260">
        <v>55</v>
      </c>
      <c r="B260">
        <v>1</v>
      </c>
      <c r="C260">
        <v>4</v>
      </c>
      <c r="D260">
        <v>160</v>
      </c>
      <c r="E260">
        <v>289</v>
      </c>
      <c r="F260">
        <v>0</v>
      </c>
      <c r="G260">
        <v>2</v>
      </c>
      <c r="H260">
        <v>145</v>
      </c>
      <c r="I260">
        <v>1</v>
      </c>
      <c r="J260">
        <v>0.8</v>
      </c>
      <c r="K260">
        <v>2</v>
      </c>
      <c r="L260">
        <v>1</v>
      </c>
      <c r="M260">
        <v>7</v>
      </c>
      <c r="N260">
        <v>1</v>
      </c>
      <c r="O260" s="3">
        <f t="shared" si="25"/>
        <v>4.1486607809999985</v>
      </c>
      <c r="P260" s="3">
        <f t="shared" si="26"/>
        <v>0.9844597683551255</v>
      </c>
      <c r="Q260" s="3">
        <f t="shared" si="27"/>
        <v>1</v>
      </c>
      <c r="R260" s="3">
        <f t="shared" si="28"/>
        <v>0</v>
      </c>
    </row>
    <row r="261" spans="1:18" x14ac:dyDescent="0.25">
      <c r="A261">
        <v>70</v>
      </c>
      <c r="B261">
        <v>1</v>
      </c>
      <c r="C261">
        <v>4</v>
      </c>
      <c r="D261">
        <v>130</v>
      </c>
      <c r="E261">
        <v>322</v>
      </c>
      <c r="F261">
        <v>0</v>
      </c>
      <c r="G261">
        <v>2</v>
      </c>
      <c r="H261">
        <v>109</v>
      </c>
      <c r="I261">
        <v>0</v>
      </c>
      <c r="J261">
        <v>2.4</v>
      </c>
      <c r="K261">
        <v>2</v>
      </c>
      <c r="L261">
        <v>3</v>
      </c>
      <c r="M261">
        <v>3</v>
      </c>
      <c r="N261">
        <v>1</v>
      </c>
      <c r="O261" s="3">
        <f t="shared" si="25"/>
        <v>5.1222057929999991</v>
      </c>
      <c r="P261" s="3">
        <f t="shared" si="26"/>
        <v>0.99407248933678372</v>
      </c>
      <c r="Q261" s="3">
        <f t="shared" si="27"/>
        <v>1</v>
      </c>
      <c r="R261" s="3">
        <f t="shared" si="28"/>
        <v>0</v>
      </c>
    </row>
    <row r="262" spans="1:18" x14ac:dyDescent="0.25">
      <c r="A262">
        <v>58</v>
      </c>
      <c r="B262">
        <v>1</v>
      </c>
      <c r="C262">
        <v>4</v>
      </c>
      <c r="D262">
        <v>125</v>
      </c>
      <c r="E262">
        <v>300</v>
      </c>
      <c r="F262">
        <v>0</v>
      </c>
      <c r="G262">
        <v>2</v>
      </c>
      <c r="H262">
        <v>171</v>
      </c>
      <c r="I262">
        <v>0</v>
      </c>
      <c r="J262">
        <v>0</v>
      </c>
      <c r="K262">
        <v>1</v>
      </c>
      <c r="L262">
        <v>2</v>
      </c>
      <c r="M262">
        <v>7</v>
      </c>
      <c r="N262">
        <v>1</v>
      </c>
      <c r="O262" s="3">
        <f t="shared" si="25"/>
        <v>2.1472897309999972</v>
      </c>
      <c r="P262" s="3">
        <f t="shared" si="26"/>
        <v>0.89541524076143919</v>
      </c>
      <c r="Q262" s="3">
        <f t="shared" si="27"/>
        <v>1</v>
      </c>
      <c r="R262" s="3">
        <f t="shared" si="28"/>
        <v>0</v>
      </c>
    </row>
    <row r="263" spans="1:18" x14ac:dyDescent="0.25">
      <c r="A263">
        <v>57</v>
      </c>
      <c r="B263">
        <v>1</v>
      </c>
      <c r="C263">
        <v>4</v>
      </c>
      <c r="D263">
        <v>152</v>
      </c>
      <c r="E263">
        <v>274</v>
      </c>
      <c r="F263">
        <v>0</v>
      </c>
      <c r="G263">
        <v>0</v>
      </c>
      <c r="H263">
        <v>88</v>
      </c>
      <c r="I263">
        <v>1</v>
      </c>
      <c r="J263">
        <v>1.2</v>
      </c>
      <c r="K263">
        <v>2</v>
      </c>
      <c r="L263">
        <v>1</v>
      </c>
      <c r="M263">
        <v>7</v>
      </c>
      <c r="N263">
        <v>1</v>
      </c>
      <c r="O263" s="3">
        <f t="shared" si="25"/>
        <v>4.6536394060000017</v>
      </c>
      <c r="P263" s="3">
        <f t="shared" si="26"/>
        <v>0.99056303805243662</v>
      </c>
      <c r="Q263" s="3">
        <f t="shared" si="27"/>
        <v>1</v>
      </c>
      <c r="R263" s="3">
        <f t="shared" si="28"/>
        <v>0</v>
      </c>
    </row>
    <row r="264" spans="1:18" x14ac:dyDescent="0.25">
      <c r="A264">
        <v>52</v>
      </c>
      <c r="B264">
        <v>1</v>
      </c>
      <c r="C264">
        <v>4</v>
      </c>
      <c r="D264">
        <v>108</v>
      </c>
      <c r="E264">
        <v>233</v>
      </c>
      <c r="F264">
        <v>1</v>
      </c>
      <c r="G264">
        <v>0</v>
      </c>
      <c r="H264">
        <v>147</v>
      </c>
      <c r="I264">
        <v>0</v>
      </c>
      <c r="J264">
        <v>0.1</v>
      </c>
      <c r="K264">
        <v>1</v>
      </c>
      <c r="L264">
        <v>3</v>
      </c>
      <c r="M264">
        <v>7</v>
      </c>
      <c r="N264">
        <v>0</v>
      </c>
      <c r="O264" s="3">
        <f t="shared" si="25"/>
        <v>2.4790118494999991</v>
      </c>
      <c r="P264" s="3">
        <f t="shared" si="26"/>
        <v>0.92265731210061686</v>
      </c>
      <c r="Q264" s="3">
        <f t="shared" si="27"/>
        <v>1</v>
      </c>
      <c r="R264" s="3">
        <f t="shared" si="28"/>
        <v>1</v>
      </c>
    </row>
    <row r="265" spans="1:18" x14ac:dyDescent="0.25">
      <c r="A265">
        <v>60</v>
      </c>
      <c r="B265">
        <v>0</v>
      </c>
      <c r="C265">
        <v>4</v>
      </c>
      <c r="D265">
        <v>158</v>
      </c>
      <c r="E265">
        <v>305</v>
      </c>
      <c r="F265">
        <v>0</v>
      </c>
      <c r="G265">
        <v>2</v>
      </c>
      <c r="H265">
        <v>161</v>
      </c>
      <c r="I265">
        <v>0</v>
      </c>
      <c r="J265">
        <v>0</v>
      </c>
      <c r="K265">
        <v>1</v>
      </c>
      <c r="L265">
        <v>0</v>
      </c>
      <c r="M265">
        <v>3</v>
      </c>
      <c r="N265">
        <v>1</v>
      </c>
      <c r="O265" s="3">
        <f t="shared" si="25"/>
        <v>-1.5656018670000016</v>
      </c>
      <c r="P265" s="3">
        <f t="shared" si="26"/>
        <v>0.17284428454601725</v>
      </c>
      <c r="Q265" s="3">
        <f t="shared" si="27"/>
        <v>0</v>
      </c>
      <c r="R265" s="3">
        <f t="shared" si="28"/>
        <v>1</v>
      </c>
    </row>
    <row r="266" spans="1:18" x14ac:dyDescent="0.25">
      <c r="A266">
        <v>63</v>
      </c>
      <c r="B266">
        <v>0</v>
      </c>
      <c r="C266">
        <v>2</v>
      </c>
      <c r="D266">
        <v>140</v>
      </c>
      <c r="E266">
        <v>195</v>
      </c>
      <c r="F266">
        <v>0</v>
      </c>
      <c r="G266">
        <v>0</v>
      </c>
      <c r="H266">
        <v>179</v>
      </c>
      <c r="I266">
        <v>0</v>
      </c>
      <c r="J266">
        <v>0</v>
      </c>
      <c r="K266">
        <v>1</v>
      </c>
      <c r="L266">
        <v>2</v>
      </c>
      <c r="M266">
        <v>3</v>
      </c>
      <c r="N266">
        <v>0</v>
      </c>
      <c r="O266" s="3">
        <f t="shared" si="25"/>
        <v>-2.1399452980000007</v>
      </c>
      <c r="P266" s="3">
        <f t="shared" si="26"/>
        <v>0.10527454189179655</v>
      </c>
      <c r="Q266" s="3">
        <f t="shared" si="27"/>
        <v>0</v>
      </c>
      <c r="R266" s="3">
        <f t="shared" si="28"/>
        <v>0</v>
      </c>
    </row>
    <row r="267" spans="1:18" x14ac:dyDescent="0.25">
      <c r="A267">
        <v>42</v>
      </c>
      <c r="B267">
        <v>1</v>
      </c>
      <c r="C267">
        <v>3</v>
      </c>
      <c r="D267">
        <v>120</v>
      </c>
      <c r="E267">
        <v>240</v>
      </c>
      <c r="F267">
        <v>1</v>
      </c>
      <c r="G267">
        <v>0</v>
      </c>
      <c r="H267">
        <v>194</v>
      </c>
      <c r="I267">
        <v>0</v>
      </c>
      <c r="J267">
        <v>0.8</v>
      </c>
      <c r="K267">
        <v>3</v>
      </c>
      <c r="L267">
        <v>0</v>
      </c>
      <c r="M267">
        <v>7</v>
      </c>
      <c r="N267">
        <v>0</v>
      </c>
      <c r="O267" s="3">
        <f t="shared" si="25"/>
        <v>-1.1848584350000015</v>
      </c>
      <c r="P267" s="3">
        <f t="shared" si="26"/>
        <v>0.23417976143539937</v>
      </c>
      <c r="Q267" s="3">
        <f t="shared" si="27"/>
        <v>0</v>
      </c>
      <c r="R267" s="3">
        <f t="shared" si="28"/>
        <v>0</v>
      </c>
    </row>
    <row r="268" spans="1:18" x14ac:dyDescent="0.25">
      <c r="A268">
        <v>66</v>
      </c>
      <c r="B268">
        <v>1</v>
      </c>
      <c r="C268">
        <v>2</v>
      </c>
      <c r="D268">
        <v>160</v>
      </c>
      <c r="E268">
        <v>246</v>
      </c>
      <c r="F268">
        <v>0</v>
      </c>
      <c r="G268">
        <v>0</v>
      </c>
      <c r="H268">
        <v>120</v>
      </c>
      <c r="I268">
        <v>1</v>
      </c>
      <c r="J268">
        <v>0</v>
      </c>
      <c r="K268">
        <v>2</v>
      </c>
      <c r="L268">
        <v>3</v>
      </c>
      <c r="M268">
        <v>6</v>
      </c>
      <c r="N268">
        <v>1</v>
      </c>
      <c r="O268" s="3">
        <f t="shared" si="25"/>
        <v>4.6259144019999976</v>
      </c>
      <c r="P268" s="3">
        <f t="shared" si="26"/>
        <v>0.99030031084214343</v>
      </c>
      <c r="Q268" s="3">
        <f t="shared" si="27"/>
        <v>1</v>
      </c>
      <c r="R268" s="3">
        <f t="shared" si="28"/>
        <v>0</v>
      </c>
    </row>
    <row r="269" spans="1:18" x14ac:dyDescent="0.25">
      <c r="A269">
        <v>54</v>
      </c>
      <c r="B269">
        <v>1</v>
      </c>
      <c r="C269">
        <v>2</v>
      </c>
      <c r="D269">
        <v>192</v>
      </c>
      <c r="E269">
        <v>283</v>
      </c>
      <c r="F269">
        <v>0</v>
      </c>
      <c r="G269">
        <v>2</v>
      </c>
      <c r="H269">
        <v>195</v>
      </c>
      <c r="I269">
        <v>0</v>
      </c>
      <c r="J269">
        <v>0</v>
      </c>
      <c r="K269">
        <v>1</v>
      </c>
      <c r="L269">
        <v>1</v>
      </c>
      <c r="M269">
        <v>7</v>
      </c>
      <c r="N269">
        <v>1</v>
      </c>
      <c r="O269" s="3">
        <f t="shared" si="25"/>
        <v>0.64492602699999857</v>
      </c>
      <c r="P269" s="3">
        <f t="shared" si="26"/>
        <v>0.65586614526926623</v>
      </c>
      <c r="Q269" s="3">
        <f t="shared" si="27"/>
        <v>1</v>
      </c>
      <c r="R269" s="3">
        <f t="shared" si="28"/>
        <v>0</v>
      </c>
    </row>
    <row r="270" spans="1:18" x14ac:dyDescent="0.25">
      <c r="A270">
        <v>51</v>
      </c>
      <c r="B270">
        <v>1</v>
      </c>
      <c r="C270">
        <v>4</v>
      </c>
      <c r="D270">
        <v>140</v>
      </c>
      <c r="E270">
        <v>298</v>
      </c>
      <c r="F270">
        <v>0</v>
      </c>
      <c r="G270">
        <v>0</v>
      </c>
      <c r="H270">
        <v>122</v>
      </c>
      <c r="I270">
        <v>1</v>
      </c>
      <c r="J270">
        <v>4.2</v>
      </c>
      <c r="K270">
        <v>2</v>
      </c>
      <c r="L270">
        <v>3</v>
      </c>
      <c r="M270">
        <v>7</v>
      </c>
      <c r="N270">
        <v>1</v>
      </c>
      <c r="O270" s="3">
        <f t="shared" si="25"/>
        <v>7.1860592029999992</v>
      </c>
      <c r="P270" s="3">
        <f t="shared" si="26"/>
        <v>0.99924350602060374</v>
      </c>
      <c r="Q270" s="3">
        <f t="shared" si="27"/>
        <v>1</v>
      </c>
      <c r="R270" s="3">
        <f t="shared" si="28"/>
        <v>0</v>
      </c>
    </row>
    <row r="271" spans="1:18" x14ac:dyDescent="0.25">
      <c r="A271">
        <v>62</v>
      </c>
      <c r="B271">
        <v>0</v>
      </c>
      <c r="C271">
        <v>4</v>
      </c>
      <c r="D271">
        <v>138</v>
      </c>
      <c r="E271">
        <v>294</v>
      </c>
      <c r="F271">
        <v>1</v>
      </c>
      <c r="G271">
        <v>0</v>
      </c>
      <c r="H271">
        <v>106</v>
      </c>
      <c r="I271">
        <v>0</v>
      </c>
      <c r="J271">
        <v>1.9</v>
      </c>
      <c r="K271">
        <v>2</v>
      </c>
      <c r="L271">
        <v>3</v>
      </c>
      <c r="M271">
        <v>3</v>
      </c>
      <c r="N271">
        <v>1</v>
      </c>
      <c r="O271" s="3">
        <f t="shared" si="25"/>
        <v>3.4510498834999996</v>
      </c>
      <c r="P271" s="3">
        <f t="shared" si="26"/>
        <v>0.96926243499239528</v>
      </c>
      <c r="Q271" s="3">
        <f t="shared" si="27"/>
        <v>1</v>
      </c>
      <c r="R271" s="3">
        <f t="shared" si="28"/>
        <v>0</v>
      </c>
    </row>
    <row r="272" spans="1:18" x14ac:dyDescent="0.25">
      <c r="A272">
        <v>68</v>
      </c>
      <c r="B272">
        <v>0</v>
      </c>
      <c r="C272">
        <v>3</v>
      </c>
      <c r="D272">
        <v>120</v>
      </c>
      <c r="E272">
        <v>211</v>
      </c>
      <c r="F272">
        <v>0</v>
      </c>
      <c r="G272">
        <v>2</v>
      </c>
      <c r="H272">
        <v>115</v>
      </c>
      <c r="I272">
        <v>0</v>
      </c>
      <c r="J272">
        <v>1.5</v>
      </c>
      <c r="K272">
        <v>2</v>
      </c>
      <c r="L272">
        <v>0</v>
      </c>
      <c r="M272">
        <v>3</v>
      </c>
      <c r="N272">
        <v>0</v>
      </c>
      <c r="O272" s="3">
        <f t="shared" si="25"/>
        <v>-1.7288627465000017</v>
      </c>
      <c r="P272" s="3">
        <f t="shared" si="26"/>
        <v>0.15073310474509966</v>
      </c>
      <c r="Q272" s="3">
        <f t="shared" si="27"/>
        <v>0</v>
      </c>
      <c r="R272" s="3">
        <f t="shared" si="28"/>
        <v>0</v>
      </c>
    </row>
    <row r="273" spans="1:18" x14ac:dyDescent="0.25">
      <c r="A273">
        <v>50</v>
      </c>
      <c r="B273">
        <v>0</v>
      </c>
      <c r="C273">
        <v>4</v>
      </c>
      <c r="D273">
        <v>110</v>
      </c>
      <c r="E273">
        <v>254</v>
      </c>
      <c r="F273">
        <v>0</v>
      </c>
      <c r="G273">
        <v>2</v>
      </c>
      <c r="H273">
        <v>159</v>
      </c>
      <c r="I273">
        <v>0</v>
      </c>
      <c r="J273">
        <v>0</v>
      </c>
      <c r="K273">
        <v>1</v>
      </c>
      <c r="L273">
        <v>0</v>
      </c>
      <c r="M273">
        <v>3</v>
      </c>
      <c r="N273">
        <v>0</v>
      </c>
      <c r="O273" s="3">
        <f t="shared" si="25"/>
        <v>-3.0217145880000009</v>
      </c>
      <c r="P273" s="3">
        <f t="shared" si="26"/>
        <v>4.6454465267184643E-2</v>
      </c>
      <c r="Q273" s="3">
        <f t="shared" si="27"/>
        <v>0</v>
      </c>
      <c r="R273" s="3">
        <f t="shared" si="28"/>
        <v>0</v>
      </c>
    </row>
    <row r="274" spans="1:18" x14ac:dyDescent="0.25">
      <c r="A274">
        <v>43</v>
      </c>
      <c r="B274">
        <v>1</v>
      </c>
      <c r="C274">
        <v>4</v>
      </c>
      <c r="D274">
        <v>110</v>
      </c>
      <c r="E274">
        <v>211</v>
      </c>
      <c r="F274">
        <v>0</v>
      </c>
      <c r="G274">
        <v>0</v>
      </c>
      <c r="H274">
        <v>161</v>
      </c>
      <c r="I274">
        <v>0</v>
      </c>
      <c r="J274">
        <v>0</v>
      </c>
      <c r="K274">
        <v>1</v>
      </c>
      <c r="L274">
        <v>0</v>
      </c>
      <c r="M274">
        <v>7</v>
      </c>
      <c r="N274">
        <v>0</v>
      </c>
      <c r="O274" s="3">
        <f t="shared" si="25"/>
        <v>-1.4464088569999998</v>
      </c>
      <c r="P274" s="3">
        <f t="shared" si="26"/>
        <v>0.19055486177091235</v>
      </c>
      <c r="Q274" s="3">
        <f t="shared" si="27"/>
        <v>0</v>
      </c>
      <c r="R274" s="3">
        <f t="shared" si="28"/>
        <v>0</v>
      </c>
    </row>
    <row r="275" spans="1:18" x14ac:dyDescent="0.25">
      <c r="A275">
        <v>58</v>
      </c>
      <c r="B275">
        <v>1</v>
      </c>
      <c r="C275">
        <v>4</v>
      </c>
      <c r="D275">
        <v>128</v>
      </c>
      <c r="E275">
        <v>259</v>
      </c>
      <c r="F275">
        <v>0</v>
      </c>
      <c r="G275">
        <v>2</v>
      </c>
      <c r="H275">
        <v>130</v>
      </c>
      <c r="I275">
        <v>1</v>
      </c>
      <c r="J275">
        <v>3</v>
      </c>
      <c r="K275">
        <v>2</v>
      </c>
      <c r="L275">
        <v>2</v>
      </c>
      <c r="M275">
        <v>7</v>
      </c>
      <c r="N275">
        <v>1</v>
      </c>
      <c r="O275" s="3">
        <f t="shared" si="25"/>
        <v>5.2727187019999988</v>
      </c>
      <c r="P275" s="3">
        <f t="shared" si="26"/>
        <v>0.99489653335477424</v>
      </c>
      <c r="Q275" s="3">
        <f t="shared" si="27"/>
        <v>1</v>
      </c>
      <c r="R275" s="3">
        <f t="shared" si="28"/>
        <v>0</v>
      </c>
    </row>
    <row r="276" spans="1:18" x14ac:dyDescent="0.25">
      <c r="A276">
        <v>50</v>
      </c>
      <c r="B276">
        <v>1</v>
      </c>
      <c r="C276">
        <v>4</v>
      </c>
      <c r="D276">
        <v>144</v>
      </c>
      <c r="E276">
        <v>200</v>
      </c>
      <c r="F276">
        <v>0</v>
      </c>
      <c r="G276">
        <v>2</v>
      </c>
      <c r="H276">
        <v>126</v>
      </c>
      <c r="I276">
        <v>1</v>
      </c>
      <c r="J276">
        <v>0.9</v>
      </c>
      <c r="K276">
        <v>2</v>
      </c>
      <c r="L276">
        <v>0</v>
      </c>
      <c r="M276">
        <v>7</v>
      </c>
      <c r="N276">
        <v>1</v>
      </c>
      <c r="O276" s="3">
        <f t="shared" si="25"/>
        <v>2.5079250255000005</v>
      </c>
      <c r="P276" s="3">
        <f t="shared" si="26"/>
        <v>0.92469552961855139</v>
      </c>
      <c r="Q276" s="3">
        <f t="shared" si="27"/>
        <v>1</v>
      </c>
      <c r="R276" s="3">
        <f t="shared" si="28"/>
        <v>0</v>
      </c>
    </row>
    <row r="277" spans="1:18" x14ac:dyDescent="0.25">
      <c r="A277">
        <v>62</v>
      </c>
      <c r="B277">
        <v>0</v>
      </c>
      <c r="C277">
        <v>4</v>
      </c>
      <c r="D277">
        <v>150</v>
      </c>
      <c r="E277">
        <v>244</v>
      </c>
      <c r="F277">
        <v>0</v>
      </c>
      <c r="G277">
        <v>0</v>
      </c>
      <c r="H277">
        <v>154</v>
      </c>
      <c r="I277">
        <v>1</v>
      </c>
      <c r="J277">
        <v>1.4</v>
      </c>
      <c r="K277">
        <v>2</v>
      </c>
      <c r="L277">
        <v>0</v>
      </c>
      <c r="M277">
        <v>3</v>
      </c>
      <c r="N277">
        <v>1</v>
      </c>
      <c r="O277" s="3">
        <f t="shared" si="25"/>
        <v>-0.4091708580000013</v>
      </c>
      <c r="P277" s="3">
        <f t="shared" si="26"/>
        <v>0.39911095050287876</v>
      </c>
      <c r="Q277" s="3">
        <f t="shared" si="27"/>
        <v>0</v>
      </c>
      <c r="R277" s="3">
        <f t="shared" si="28"/>
        <v>1</v>
      </c>
    </row>
    <row r="278" spans="1:18" x14ac:dyDescent="0.25">
      <c r="A278">
        <v>38</v>
      </c>
      <c r="B278">
        <v>1</v>
      </c>
      <c r="C278">
        <v>1</v>
      </c>
      <c r="D278">
        <v>120</v>
      </c>
      <c r="E278">
        <v>231</v>
      </c>
      <c r="F278">
        <v>0</v>
      </c>
      <c r="G278">
        <v>0</v>
      </c>
      <c r="H278">
        <v>182</v>
      </c>
      <c r="I278">
        <v>1</v>
      </c>
      <c r="J278">
        <v>3.8</v>
      </c>
      <c r="K278">
        <v>2</v>
      </c>
      <c r="L278">
        <v>0</v>
      </c>
      <c r="M278">
        <v>7</v>
      </c>
      <c r="N278">
        <v>1</v>
      </c>
      <c r="O278" s="3">
        <f t="shared" si="25"/>
        <v>-1.5216579230000002</v>
      </c>
      <c r="P278" s="3">
        <f t="shared" si="26"/>
        <v>0.17921751154778065</v>
      </c>
      <c r="Q278" s="3">
        <f t="shared" si="27"/>
        <v>0</v>
      </c>
      <c r="R278" s="3">
        <f t="shared" si="28"/>
        <v>1</v>
      </c>
    </row>
    <row r="279" spans="1:18" x14ac:dyDescent="0.25">
      <c r="A279">
        <v>46</v>
      </c>
      <c r="B279">
        <v>0</v>
      </c>
      <c r="C279">
        <v>4</v>
      </c>
      <c r="D279">
        <v>138</v>
      </c>
      <c r="E279">
        <v>243</v>
      </c>
      <c r="F279">
        <v>0</v>
      </c>
      <c r="G279">
        <v>2</v>
      </c>
      <c r="H279">
        <v>152</v>
      </c>
      <c r="I279">
        <v>1</v>
      </c>
      <c r="J279">
        <v>0</v>
      </c>
      <c r="K279">
        <v>2</v>
      </c>
      <c r="L279">
        <v>0</v>
      </c>
      <c r="M279">
        <v>3</v>
      </c>
      <c r="N279">
        <v>0</v>
      </c>
      <c r="O279" s="3">
        <f t="shared" si="25"/>
        <v>-0.40194661400000165</v>
      </c>
      <c r="P279" s="3">
        <f t="shared" si="26"/>
        <v>0.40084473493397726</v>
      </c>
      <c r="Q279" s="3">
        <f t="shared" si="27"/>
        <v>0</v>
      </c>
      <c r="R279" s="3">
        <f t="shared" si="28"/>
        <v>0</v>
      </c>
    </row>
    <row r="280" spans="1:18" x14ac:dyDescent="0.25">
      <c r="A280">
        <v>64</v>
      </c>
      <c r="B280">
        <v>0</v>
      </c>
      <c r="C280">
        <v>4</v>
      </c>
      <c r="D280">
        <v>130</v>
      </c>
      <c r="E280">
        <v>303</v>
      </c>
      <c r="F280">
        <v>0</v>
      </c>
      <c r="G280">
        <v>0</v>
      </c>
      <c r="H280">
        <v>122</v>
      </c>
      <c r="I280">
        <v>0</v>
      </c>
      <c r="J280">
        <v>2</v>
      </c>
      <c r="K280">
        <v>2</v>
      </c>
      <c r="L280">
        <v>2</v>
      </c>
      <c r="M280">
        <v>3</v>
      </c>
      <c r="N280">
        <v>0</v>
      </c>
      <c r="O280" s="3">
        <f t="shared" si="25"/>
        <v>1.9836559499999975</v>
      </c>
      <c r="P280" s="3">
        <f t="shared" si="26"/>
        <v>0.87907034924994421</v>
      </c>
      <c r="Q280" s="3">
        <f t="shared" si="27"/>
        <v>1</v>
      </c>
      <c r="R280" s="3">
        <f t="shared" si="28"/>
        <v>1</v>
      </c>
    </row>
    <row r="281" spans="1:18" x14ac:dyDescent="0.25">
      <c r="A281">
        <v>41</v>
      </c>
      <c r="B281">
        <v>0</v>
      </c>
      <c r="C281">
        <v>3</v>
      </c>
      <c r="D281">
        <v>112</v>
      </c>
      <c r="E281">
        <v>268</v>
      </c>
      <c r="F281">
        <v>0</v>
      </c>
      <c r="G281">
        <v>2</v>
      </c>
      <c r="H281">
        <v>172</v>
      </c>
      <c r="I281">
        <v>1</v>
      </c>
      <c r="J281">
        <v>0</v>
      </c>
      <c r="K281">
        <v>1</v>
      </c>
      <c r="L281">
        <v>0</v>
      </c>
      <c r="M281">
        <v>3</v>
      </c>
      <c r="N281">
        <v>0</v>
      </c>
      <c r="O281" s="3">
        <f t="shared" si="25"/>
        <v>-3.2004473860000013</v>
      </c>
      <c r="P281" s="3">
        <f t="shared" si="26"/>
        <v>3.914889034082053E-2</v>
      </c>
      <c r="Q281" s="3">
        <f t="shared" si="27"/>
        <v>0</v>
      </c>
      <c r="R281" s="3">
        <f t="shared" si="28"/>
        <v>0</v>
      </c>
    </row>
    <row r="282" spans="1:18" x14ac:dyDescent="0.25">
      <c r="A282">
        <v>53</v>
      </c>
      <c r="B282">
        <v>1</v>
      </c>
      <c r="C282">
        <v>4</v>
      </c>
      <c r="D282">
        <v>123</v>
      </c>
      <c r="E282">
        <v>282</v>
      </c>
      <c r="F282">
        <v>0</v>
      </c>
      <c r="G282">
        <v>0</v>
      </c>
      <c r="H282">
        <v>95</v>
      </c>
      <c r="I282">
        <v>1</v>
      </c>
      <c r="J282">
        <v>2</v>
      </c>
      <c r="K282">
        <v>2</v>
      </c>
      <c r="L282">
        <v>2</v>
      </c>
      <c r="M282">
        <v>7</v>
      </c>
      <c r="N282">
        <v>1</v>
      </c>
      <c r="O282" s="3">
        <f t="shared" si="25"/>
        <v>5.2610629329999981</v>
      </c>
      <c r="P282" s="3">
        <f t="shared" si="26"/>
        <v>0.994837009421351</v>
      </c>
      <c r="Q282" s="3">
        <f t="shared" si="27"/>
        <v>1</v>
      </c>
      <c r="R282" s="3">
        <f t="shared" si="28"/>
        <v>0</v>
      </c>
    </row>
    <row r="283" spans="1:18" x14ac:dyDescent="0.25">
      <c r="A283">
        <v>46</v>
      </c>
      <c r="B283">
        <v>1</v>
      </c>
      <c r="C283">
        <v>4</v>
      </c>
      <c r="D283">
        <v>120</v>
      </c>
      <c r="E283">
        <v>249</v>
      </c>
      <c r="F283">
        <v>0</v>
      </c>
      <c r="G283">
        <v>2</v>
      </c>
      <c r="H283">
        <v>144</v>
      </c>
      <c r="I283">
        <v>0</v>
      </c>
      <c r="J283">
        <v>0.8</v>
      </c>
      <c r="K283">
        <v>1</v>
      </c>
      <c r="L283">
        <v>0</v>
      </c>
      <c r="M283">
        <v>7</v>
      </c>
      <c r="N283">
        <v>1</v>
      </c>
      <c r="O283" s="3">
        <f t="shared" si="25"/>
        <v>-5.9412862000000288E-2</v>
      </c>
      <c r="P283" s="3">
        <f t="shared" si="26"/>
        <v>0.48515115214075272</v>
      </c>
      <c r="Q283" s="3">
        <f t="shared" si="27"/>
        <v>0</v>
      </c>
      <c r="R283" s="3">
        <f t="shared" si="28"/>
        <v>1</v>
      </c>
    </row>
    <row r="284" spans="1:18" x14ac:dyDescent="0.25">
      <c r="A284">
        <v>49</v>
      </c>
      <c r="B284">
        <v>0</v>
      </c>
      <c r="C284">
        <v>2</v>
      </c>
      <c r="D284">
        <v>134</v>
      </c>
      <c r="E284">
        <v>271</v>
      </c>
      <c r="F284">
        <v>0</v>
      </c>
      <c r="G284">
        <v>0</v>
      </c>
      <c r="H284">
        <v>162</v>
      </c>
      <c r="I284">
        <v>0</v>
      </c>
      <c r="J284">
        <v>0</v>
      </c>
      <c r="K284">
        <v>2</v>
      </c>
      <c r="L284">
        <v>0</v>
      </c>
      <c r="M284">
        <v>3</v>
      </c>
      <c r="N284">
        <v>0</v>
      </c>
      <c r="O284" s="3">
        <f t="shared" si="25"/>
        <v>-3.5776325050000013</v>
      </c>
      <c r="P284" s="3">
        <f t="shared" si="26"/>
        <v>2.718225173444817E-2</v>
      </c>
      <c r="Q284" s="3">
        <f t="shared" si="27"/>
        <v>0</v>
      </c>
      <c r="R284" s="3">
        <f t="shared" si="28"/>
        <v>0</v>
      </c>
    </row>
    <row r="285" spans="1:18" x14ac:dyDescent="0.25">
      <c r="A285">
        <v>49</v>
      </c>
      <c r="B285">
        <v>0</v>
      </c>
      <c r="C285">
        <v>4</v>
      </c>
      <c r="D285">
        <v>130</v>
      </c>
      <c r="E285">
        <v>269</v>
      </c>
      <c r="F285">
        <v>0</v>
      </c>
      <c r="G285">
        <v>0</v>
      </c>
      <c r="H285">
        <v>163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 s="3">
        <f t="shared" si="25"/>
        <v>-2.9175566380000006</v>
      </c>
      <c r="P285" s="3">
        <f t="shared" si="26"/>
        <v>5.1292468431506755E-2</v>
      </c>
      <c r="Q285" s="3">
        <f t="shared" si="27"/>
        <v>0</v>
      </c>
      <c r="R285" s="3">
        <f t="shared" si="28"/>
        <v>0</v>
      </c>
    </row>
    <row r="286" spans="1:18" x14ac:dyDescent="0.25">
      <c r="A286">
        <v>60</v>
      </c>
      <c r="B286">
        <v>0</v>
      </c>
      <c r="C286">
        <v>3</v>
      </c>
      <c r="D286">
        <v>120</v>
      </c>
      <c r="E286">
        <v>178</v>
      </c>
      <c r="F286">
        <v>1</v>
      </c>
      <c r="G286">
        <v>0</v>
      </c>
      <c r="H286">
        <v>96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0</v>
      </c>
      <c r="O286" s="3">
        <f t="shared" si="25"/>
        <v>-3.4971283580000012</v>
      </c>
      <c r="P286" s="3">
        <f t="shared" si="26"/>
        <v>2.9394048181797243E-2</v>
      </c>
      <c r="Q286" s="3">
        <f t="shared" si="27"/>
        <v>0</v>
      </c>
      <c r="R286" s="3">
        <f t="shared" si="28"/>
        <v>0</v>
      </c>
    </row>
    <row r="287" spans="1:18" x14ac:dyDescent="0.25">
      <c r="A287">
        <v>58</v>
      </c>
      <c r="B287">
        <v>1</v>
      </c>
      <c r="C287">
        <v>4</v>
      </c>
      <c r="D287">
        <v>100</v>
      </c>
      <c r="E287">
        <v>234</v>
      </c>
      <c r="F287">
        <v>0</v>
      </c>
      <c r="G287">
        <v>0</v>
      </c>
      <c r="H287">
        <v>156</v>
      </c>
      <c r="I287">
        <v>0</v>
      </c>
      <c r="J287">
        <v>0.1</v>
      </c>
      <c r="K287">
        <v>1</v>
      </c>
      <c r="L287">
        <v>1</v>
      </c>
      <c r="M287">
        <v>7</v>
      </c>
      <c r="N287">
        <v>1</v>
      </c>
      <c r="O287" s="3">
        <f t="shared" si="25"/>
        <v>-0.33350844250000122</v>
      </c>
      <c r="P287" s="3">
        <f t="shared" si="26"/>
        <v>0.41738721072792839</v>
      </c>
      <c r="Q287" s="3">
        <f t="shared" si="27"/>
        <v>0</v>
      </c>
      <c r="R287" s="3">
        <f t="shared" si="28"/>
        <v>1</v>
      </c>
    </row>
    <row r="288" spans="1:18" x14ac:dyDescent="0.25">
      <c r="A288">
        <v>47</v>
      </c>
      <c r="B288">
        <v>1</v>
      </c>
      <c r="C288">
        <v>4</v>
      </c>
      <c r="D288">
        <v>110</v>
      </c>
      <c r="E288">
        <v>275</v>
      </c>
      <c r="F288">
        <v>0</v>
      </c>
      <c r="G288">
        <v>2</v>
      </c>
      <c r="H288">
        <v>118</v>
      </c>
      <c r="I288">
        <v>1</v>
      </c>
      <c r="J288">
        <v>1</v>
      </c>
      <c r="K288">
        <v>2</v>
      </c>
      <c r="L288">
        <v>1</v>
      </c>
      <c r="M288">
        <v>3</v>
      </c>
      <c r="N288">
        <v>1</v>
      </c>
      <c r="O288" s="3">
        <f t="shared" si="25"/>
        <v>2.0583568480000007</v>
      </c>
      <c r="P288" s="3">
        <f t="shared" si="26"/>
        <v>0.88678931209302969</v>
      </c>
      <c r="Q288" s="3">
        <f t="shared" si="27"/>
        <v>1</v>
      </c>
      <c r="R288" s="3">
        <f t="shared" si="28"/>
        <v>0</v>
      </c>
    </row>
    <row r="289" spans="1:18" x14ac:dyDescent="0.25">
      <c r="A289">
        <v>62</v>
      </c>
      <c r="B289">
        <v>1</v>
      </c>
      <c r="C289">
        <v>2</v>
      </c>
      <c r="D289">
        <v>128</v>
      </c>
      <c r="E289">
        <v>208</v>
      </c>
      <c r="F289">
        <v>1</v>
      </c>
      <c r="G289">
        <v>2</v>
      </c>
      <c r="H289">
        <v>140</v>
      </c>
      <c r="I289">
        <v>0</v>
      </c>
      <c r="J289">
        <v>0</v>
      </c>
      <c r="K289">
        <v>1</v>
      </c>
      <c r="L289">
        <v>0</v>
      </c>
      <c r="M289">
        <v>3</v>
      </c>
      <c r="N289">
        <v>0</v>
      </c>
      <c r="O289" s="3">
        <f t="shared" ref="O289:O306" si="29">SUMPRODUCT(A$4:M$4, A289:M289)+N$4</f>
        <v>-3.5682166780000006</v>
      </c>
      <c r="P289" s="3">
        <f t="shared" ref="P289:P306" si="30">1/(1+EXP(0-O289))</f>
        <v>2.7432349577236271E-2</v>
      </c>
      <c r="Q289" s="3">
        <f t="shared" ref="Q289:Q306" si="31">IF(P289&lt;0.5,0,1)</f>
        <v>0</v>
      </c>
      <c r="R289" s="3">
        <f t="shared" ref="R289:R306" si="32">IF(N289=Q289,0,1)</f>
        <v>0</v>
      </c>
    </row>
    <row r="290" spans="1:18" x14ac:dyDescent="0.25">
      <c r="A290">
        <v>58</v>
      </c>
      <c r="B290">
        <v>1</v>
      </c>
      <c r="C290">
        <v>4</v>
      </c>
      <c r="D290">
        <v>146</v>
      </c>
      <c r="E290">
        <v>218</v>
      </c>
      <c r="F290">
        <v>0</v>
      </c>
      <c r="G290">
        <v>0</v>
      </c>
      <c r="H290">
        <v>105</v>
      </c>
      <c r="I290">
        <v>0</v>
      </c>
      <c r="J290">
        <v>2</v>
      </c>
      <c r="K290">
        <v>2</v>
      </c>
      <c r="L290">
        <v>1</v>
      </c>
      <c r="M290">
        <v>7</v>
      </c>
      <c r="N290">
        <v>1</v>
      </c>
      <c r="O290" s="3">
        <f t="shared" si="29"/>
        <v>3.4119964190000012</v>
      </c>
      <c r="P290" s="3">
        <f t="shared" si="30"/>
        <v>0.96807735670845241</v>
      </c>
      <c r="Q290" s="3">
        <f t="shared" si="31"/>
        <v>1</v>
      </c>
      <c r="R290" s="3">
        <f t="shared" si="32"/>
        <v>0</v>
      </c>
    </row>
    <row r="291" spans="1:18" x14ac:dyDescent="0.25">
      <c r="A291">
        <v>51</v>
      </c>
      <c r="B291">
        <v>0</v>
      </c>
      <c r="C291">
        <v>3</v>
      </c>
      <c r="D291">
        <v>120</v>
      </c>
      <c r="E291">
        <v>295</v>
      </c>
      <c r="F291">
        <v>0</v>
      </c>
      <c r="G291">
        <v>2</v>
      </c>
      <c r="H291">
        <v>157</v>
      </c>
      <c r="I291">
        <v>0</v>
      </c>
      <c r="J291">
        <v>0.6</v>
      </c>
      <c r="K291">
        <v>1</v>
      </c>
      <c r="L291">
        <v>0</v>
      </c>
      <c r="M291">
        <v>3</v>
      </c>
      <c r="N291">
        <v>0</v>
      </c>
      <c r="O291" s="3">
        <f t="shared" si="29"/>
        <v>-3.2778894740000011</v>
      </c>
      <c r="P291" s="3">
        <f t="shared" si="30"/>
        <v>3.6337548662942878E-2</v>
      </c>
      <c r="Q291" s="3">
        <f t="shared" si="31"/>
        <v>0</v>
      </c>
      <c r="R291" s="3">
        <f t="shared" si="32"/>
        <v>0</v>
      </c>
    </row>
    <row r="292" spans="1:18" x14ac:dyDescent="0.25">
      <c r="A292">
        <v>67</v>
      </c>
      <c r="B292">
        <v>0</v>
      </c>
      <c r="C292">
        <v>4</v>
      </c>
      <c r="D292">
        <v>106</v>
      </c>
      <c r="E292">
        <v>223</v>
      </c>
      <c r="F292">
        <v>0</v>
      </c>
      <c r="G292">
        <v>0</v>
      </c>
      <c r="H292">
        <v>142</v>
      </c>
      <c r="I292">
        <v>0</v>
      </c>
      <c r="J292">
        <v>0.3</v>
      </c>
      <c r="K292">
        <v>1</v>
      </c>
      <c r="L292">
        <v>2</v>
      </c>
      <c r="M292">
        <v>3</v>
      </c>
      <c r="N292">
        <v>0</v>
      </c>
      <c r="O292" s="3">
        <f t="shared" si="29"/>
        <v>-0.65356009750000155</v>
      </c>
      <c r="P292" s="3">
        <f t="shared" si="30"/>
        <v>0.34218772652817975</v>
      </c>
      <c r="Q292" s="3">
        <f t="shared" si="31"/>
        <v>0</v>
      </c>
      <c r="R292" s="3">
        <f t="shared" si="32"/>
        <v>0</v>
      </c>
    </row>
    <row r="293" spans="1:18" x14ac:dyDescent="0.25">
      <c r="A293">
        <v>70</v>
      </c>
      <c r="B293">
        <v>1</v>
      </c>
      <c r="C293">
        <v>2</v>
      </c>
      <c r="D293">
        <v>156</v>
      </c>
      <c r="E293">
        <v>245</v>
      </c>
      <c r="F293">
        <v>0</v>
      </c>
      <c r="G293">
        <v>2</v>
      </c>
      <c r="H293">
        <v>143</v>
      </c>
      <c r="I293">
        <v>0</v>
      </c>
      <c r="J293">
        <v>0</v>
      </c>
      <c r="K293">
        <v>1</v>
      </c>
      <c r="L293">
        <v>0</v>
      </c>
      <c r="M293">
        <v>3</v>
      </c>
      <c r="N293">
        <v>0</v>
      </c>
      <c r="O293" s="3">
        <f t="shared" si="29"/>
        <v>-2.2644476780000016</v>
      </c>
      <c r="P293" s="3">
        <f t="shared" si="30"/>
        <v>9.4110502739756949E-2</v>
      </c>
      <c r="Q293" s="3">
        <f t="shared" si="31"/>
        <v>0</v>
      </c>
      <c r="R293" s="3">
        <f t="shared" si="32"/>
        <v>0</v>
      </c>
    </row>
    <row r="294" spans="1:18" x14ac:dyDescent="0.25">
      <c r="A294">
        <v>57</v>
      </c>
      <c r="B294">
        <v>1</v>
      </c>
      <c r="C294">
        <v>2</v>
      </c>
      <c r="D294">
        <v>124</v>
      </c>
      <c r="E294">
        <v>261</v>
      </c>
      <c r="F294">
        <v>0</v>
      </c>
      <c r="G294">
        <v>0</v>
      </c>
      <c r="H294">
        <v>141</v>
      </c>
      <c r="I294">
        <v>0</v>
      </c>
      <c r="J294">
        <v>0.3</v>
      </c>
      <c r="K294">
        <v>1</v>
      </c>
      <c r="L294">
        <v>0</v>
      </c>
      <c r="M294">
        <v>7</v>
      </c>
      <c r="N294">
        <v>1</v>
      </c>
      <c r="O294" s="3">
        <f t="shared" si="29"/>
        <v>-2.2251722185000009</v>
      </c>
      <c r="P294" s="3">
        <f t="shared" si="30"/>
        <v>9.7512680080692679E-2</v>
      </c>
      <c r="Q294" s="3">
        <f t="shared" si="31"/>
        <v>0</v>
      </c>
      <c r="R294" s="3">
        <f t="shared" si="32"/>
        <v>1</v>
      </c>
    </row>
    <row r="295" spans="1:18" x14ac:dyDescent="0.25">
      <c r="A295">
        <v>44</v>
      </c>
      <c r="B295">
        <v>0</v>
      </c>
      <c r="C295">
        <v>3</v>
      </c>
      <c r="D295">
        <v>118</v>
      </c>
      <c r="E295">
        <v>242</v>
      </c>
      <c r="F295">
        <v>0</v>
      </c>
      <c r="G295">
        <v>0</v>
      </c>
      <c r="H295">
        <v>149</v>
      </c>
      <c r="I295">
        <v>0</v>
      </c>
      <c r="J295">
        <v>0.3</v>
      </c>
      <c r="K295">
        <v>2</v>
      </c>
      <c r="L295">
        <v>1</v>
      </c>
      <c r="M295">
        <v>3</v>
      </c>
      <c r="N295">
        <v>0</v>
      </c>
      <c r="O295" s="3">
        <f t="shared" si="29"/>
        <v>-1.507390108500001</v>
      </c>
      <c r="P295" s="3">
        <f t="shared" si="30"/>
        <v>0.1813259010631329</v>
      </c>
      <c r="Q295" s="3">
        <f t="shared" si="31"/>
        <v>0</v>
      </c>
      <c r="R295" s="3">
        <f t="shared" si="32"/>
        <v>0</v>
      </c>
    </row>
    <row r="296" spans="1:18" x14ac:dyDescent="0.25">
      <c r="A296">
        <v>44</v>
      </c>
      <c r="B296">
        <v>1</v>
      </c>
      <c r="C296">
        <v>3</v>
      </c>
      <c r="D296">
        <v>120</v>
      </c>
      <c r="E296">
        <v>226</v>
      </c>
      <c r="F296">
        <v>0</v>
      </c>
      <c r="G296">
        <v>0</v>
      </c>
      <c r="H296">
        <v>169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 s="3">
        <f t="shared" si="29"/>
        <v>-3.3256446900000007</v>
      </c>
      <c r="P296" s="3">
        <f t="shared" si="30"/>
        <v>3.470182747946178E-2</v>
      </c>
      <c r="Q296" s="3">
        <f t="shared" si="31"/>
        <v>0</v>
      </c>
      <c r="R296" s="3">
        <f t="shared" si="32"/>
        <v>0</v>
      </c>
    </row>
    <row r="297" spans="1:18" x14ac:dyDescent="0.25">
      <c r="A297">
        <v>46</v>
      </c>
      <c r="B297">
        <v>1</v>
      </c>
      <c r="C297">
        <v>4</v>
      </c>
      <c r="D297">
        <v>140</v>
      </c>
      <c r="E297">
        <v>311</v>
      </c>
      <c r="F297">
        <v>0</v>
      </c>
      <c r="G297">
        <v>0</v>
      </c>
      <c r="H297">
        <v>120</v>
      </c>
      <c r="I297">
        <v>1</v>
      </c>
      <c r="J297">
        <v>1.8</v>
      </c>
      <c r="K297">
        <v>2</v>
      </c>
      <c r="L297">
        <v>2</v>
      </c>
      <c r="M297">
        <v>7</v>
      </c>
      <c r="N297">
        <v>1</v>
      </c>
      <c r="O297" s="3">
        <f t="shared" si="29"/>
        <v>5.3650041579999979</v>
      </c>
      <c r="P297" s="3">
        <f t="shared" si="30"/>
        <v>0.9953443358019135</v>
      </c>
      <c r="Q297" s="3">
        <f t="shared" si="31"/>
        <v>1</v>
      </c>
      <c r="R297" s="3">
        <f t="shared" si="32"/>
        <v>0</v>
      </c>
    </row>
    <row r="298" spans="1:18" x14ac:dyDescent="0.25">
      <c r="A298">
        <v>59</v>
      </c>
      <c r="B298">
        <v>1</v>
      </c>
      <c r="C298">
        <v>1</v>
      </c>
      <c r="D298">
        <v>134</v>
      </c>
      <c r="E298">
        <v>204</v>
      </c>
      <c r="F298">
        <v>0</v>
      </c>
      <c r="G298">
        <v>0</v>
      </c>
      <c r="H298">
        <v>162</v>
      </c>
      <c r="I298">
        <v>0</v>
      </c>
      <c r="J298">
        <v>0.8</v>
      </c>
      <c r="K298">
        <v>1</v>
      </c>
      <c r="L298">
        <v>2</v>
      </c>
      <c r="M298">
        <v>3</v>
      </c>
      <c r="N298">
        <v>1</v>
      </c>
      <c r="O298" s="3">
        <f t="shared" si="29"/>
        <v>-1.6419049810000015</v>
      </c>
      <c r="P298" s="3">
        <f t="shared" si="30"/>
        <v>0.16220601814305943</v>
      </c>
      <c r="Q298" s="3">
        <f t="shared" si="31"/>
        <v>0</v>
      </c>
      <c r="R298" s="3">
        <f t="shared" si="32"/>
        <v>1</v>
      </c>
    </row>
    <row r="299" spans="1:18" x14ac:dyDescent="0.25">
      <c r="A299">
        <v>64</v>
      </c>
      <c r="B299">
        <v>1</v>
      </c>
      <c r="C299">
        <v>1</v>
      </c>
      <c r="D299">
        <v>170</v>
      </c>
      <c r="E299">
        <v>227</v>
      </c>
      <c r="F299">
        <v>0</v>
      </c>
      <c r="G299">
        <v>2</v>
      </c>
      <c r="H299">
        <v>155</v>
      </c>
      <c r="I299">
        <v>0</v>
      </c>
      <c r="J299">
        <v>0.6</v>
      </c>
      <c r="K299">
        <v>2</v>
      </c>
      <c r="L299">
        <v>0</v>
      </c>
      <c r="M299">
        <v>7</v>
      </c>
      <c r="N299">
        <v>0</v>
      </c>
      <c r="O299" s="3">
        <f t="shared" si="29"/>
        <v>-0.68850192100000029</v>
      </c>
      <c r="P299" s="3">
        <f t="shared" si="30"/>
        <v>0.33436641119699734</v>
      </c>
      <c r="Q299" s="3">
        <f t="shared" si="31"/>
        <v>0</v>
      </c>
      <c r="R299" s="3">
        <f t="shared" si="32"/>
        <v>0</v>
      </c>
    </row>
    <row r="300" spans="1:18" x14ac:dyDescent="0.25">
      <c r="A300">
        <v>57</v>
      </c>
      <c r="B300">
        <v>1</v>
      </c>
      <c r="C300">
        <v>2</v>
      </c>
      <c r="D300">
        <v>154</v>
      </c>
      <c r="E300">
        <v>232</v>
      </c>
      <c r="F300">
        <v>0</v>
      </c>
      <c r="G300">
        <v>2</v>
      </c>
      <c r="H300">
        <v>164</v>
      </c>
      <c r="I300">
        <v>0</v>
      </c>
      <c r="J300">
        <v>0</v>
      </c>
      <c r="K300">
        <v>1</v>
      </c>
      <c r="L300">
        <v>1</v>
      </c>
      <c r="M300">
        <v>3</v>
      </c>
      <c r="N300">
        <v>1</v>
      </c>
      <c r="O300" s="3">
        <f t="shared" si="29"/>
        <v>-1.2494981570000014</v>
      </c>
      <c r="P300" s="3">
        <f t="shared" si="30"/>
        <v>0.22278702233990011</v>
      </c>
      <c r="Q300" s="3">
        <f t="shared" si="31"/>
        <v>0</v>
      </c>
      <c r="R300" s="3">
        <f t="shared" si="32"/>
        <v>1</v>
      </c>
    </row>
    <row r="301" spans="1:18" x14ac:dyDescent="0.25">
      <c r="A301">
        <v>47</v>
      </c>
      <c r="B301">
        <v>1</v>
      </c>
      <c r="C301">
        <v>3</v>
      </c>
      <c r="D301">
        <v>130</v>
      </c>
      <c r="E301">
        <v>253</v>
      </c>
      <c r="F301">
        <v>0</v>
      </c>
      <c r="G301">
        <v>0</v>
      </c>
      <c r="H301">
        <v>179</v>
      </c>
      <c r="I301">
        <v>0</v>
      </c>
      <c r="J301">
        <v>0</v>
      </c>
      <c r="K301">
        <v>1</v>
      </c>
      <c r="L301">
        <v>0</v>
      </c>
      <c r="M301">
        <v>3</v>
      </c>
      <c r="N301">
        <v>0</v>
      </c>
      <c r="O301" s="3">
        <f t="shared" si="29"/>
        <v>-3.1938350740000008</v>
      </c>
      <c r="P301" s="3">
        <f t="shared" si="30"/>
        <v>3.9398380112326235E-2</v>
      </c>
      <c r="Q301" s="3">
        <f t="shared" si="31"/>
        <v>0</v>
      </c>
      <c r="R301" s="3">
        <f t="shared" si="32"/>
        <v>0</v>
      </c>
    </row>
    <row r="302" spans="1:18" x14ac:dyDescent="0.25">
      <c r="A302">
        <v>35</v>
      </c>
      <c r="B302">
        <v>1</v>
      </c>
      <c r="C302">
        <v>2</v>
      </c>
      <c r="D302">
        <v>122</v>
      </c>
      <c r="E302">
        <v>192</v>
      </c>
      <c r="F302">
        <v>0</v>
      </c>
      <c r="G302">
        <v>0</v>
      </c>
      <c r="H302">
        <v>174</v>
      </c>
      <c r="I302">
        <v>0</v>
      </c>
      <c r="J302">
        <v>0</v>
      </c>
      <c r="K302">
        <v>1</v>
      </c>
      <c r="L302">
        <v>0</v>
      </c>
      <c r="M302">
        <v>3</v>
      </c>
      <c r="N302">
        <v>0</v>
      </c>
      <c r="O302" s="3">
        <f t="shared" si="29"/>
        <v>-4.1856451000000021</v>
      </c>
      <c r="P302" s="3">
        <f t="shared" si="30"/>
        <v>1.4984440127456871E-2</v>
      </c>
      <c r="Q302" s="3">
        <f t="shared" si="31"/>
        <v>0</v>
      </c>
      <c r="R302" s="3">
        <f t="shared" si="32"/>
        <v>0</v>
      </c>
    </row>
    <row r="303" spans="1:18" x14ac:dyDescent="0.25">
      <c r="A303">
        <v>56</v>
      </c>
      <c r="B303">
        <v>1</v>
      </c>
      <c r="C303">
        <v>2</v>
      </c>
      <c r="D303">
        <v>130</v>
      </c>
      <c r="E303">
        <v>221</v>
      </c>
      <c r="F303">
        <v>0</v>
      </c>
      <c r="G303">
        <v>2</v>
      </c>
      <c r="H303">
        <v>163</v>
      </c>
      <c r="I303">
        <v>0</v>
      </c>
      <c r="J303">
        <v>0</v>
      </c>
      <c r="K303">
        <v>1</v>
      </c>
      <c r="L303">
        <v>0</v>
      </c>
      <c r="M303">
        <v>7</v>
      </c>
      <c r="N303">
        <v>0</v>
      </c>
      <c r="O303" s="3">
        <f t="shared" si="29"/>
        <v>-2.1795041680000011</v>
      </c>
      <c r="P303" s="3">
        <f t="shared" si="30"/>
        <v>0.10160617967490661</v>
      </c>
      <c r="Q303" s="3">
        <f t="shared" si="31"/>
        <v>0</v>
      </c>
      <c r="R303" s="3">
        <f t="shared" si="32"/>
        <v>0</v>
      </c>
    </row>
    <row r="304" spans="1:18" x14ac:dyDescent="0.25">
      <c r="A304">
        <v>56</v>
      </c>
      <c r="B304">
        <v>1</v>
      </c>
      <c r="C304">
        <v>2</v>
      </c>
      <c r="D304">
        <v>120</v>
      </c>
      <c r="E304">
        <v>240</v>
      </c>
      <c r="F304">
        <v>0</v>
      </c>
      <c r="G304">
        <v>0</v>
      </c>
      <c r="H304">
        <v>169</v>
      </c>
      <c r="I304">
        <v>0</v>
      </c>
      <c r="J304">
        <v>0</v>
      </c>
      <c r="K304">
        <v>3</v>
      </c>
      <c r="L304">
        <v>0</v>
      </c>
      <c r="M304">
        <v>3</v>
      </c>
      <c r="N304">
        <v>0</v>
      </c>
      <c r="O304" s="3">
        <f t="shared" si="29"/>
        <v>-2.543937777</v>
      </c>
      <c r="P304" s="3">
        <f t="shared" si="30"/>
        <v>7.2834808036135401E-2</v>
      </c>
      <c r="Q304" s="3">
        <f t="shared" si="31"/>
        <v>0</v>
      </c>
      <c r="R304" s="3">
        <f t="shared" si="32"/>
        <v>0</v>
      </c>
    </row>
    <row r="305" spans="1:18" x14ac:dyDescent="0.25">
      <c r="A305">
        <v>63</v>
      </c>
      <c r="B305">
        <v>1</v>
      </c>
      <c r="C305">
        <v>4</v>
      </c>
      <c r="D305">
        <v>140</v>
      </c>
      <c r="E305">
        <v>187</v>
      </c>
      <c r="F305">
        <v>0</v>
      </c>
      <c r="G305">
        <v>2</v>
      </c>
      <c r="H305">
        <v>144</v>
      </c>
      <c r="I305">
        <v>1</v>
      </c>
      <c r="J305">
        <v>4</v>
      </c>
      <c r="K305">
        <v>1</v>
      </c>
      <c r="L305">
        <v>2</v>
      </c>
      <c r="M305">
        <v>7</v>
      </c>
      <c r="N305">
        <v>1</v>
      </c>
      <c r="O305" s="3">
        <f t="shared" si="29"/>
        <v>4.4862977850000014</v>
      </c>
      <c r="P305" s="3">
        <f t="shared" si="30"/>
        <v>0.98886316392842033</v>
      </c>
      <c r="Q305" s="3">
        <f t="shared" si="31"/>
        <v>1</v>
      </c>
      <c r="R305" s="3">
        <f t="shared" si="32"/>
        <v>0</v>
      </c>
    </row>
    <row r="306" spans="1:18" x14ac:dyDescent="0.25">
      <c r="A306">
        <v>45</v>
      </c>
      <c r="B306">
        <v>1</v>
      </c>
      <c r="C306">
        <v>1</v>
      </c>
      <c r="D306">
        <v>110</v>
      </c>
      <c r="E306">
        <v>264</v>
      </c>
      <c r="F306">
        <v>0</v>
      </c>
      <c r="G306">
        <v>0</v>
      </c>
      <c r="H306">
        <v>132</v>
      </c>
      <c r="I306">
        <v>0</v>
      </c>
      <c r="J306">
        <v>1.2</v>
      </c>
      <c r="K306">
        <v>2</v>
      </c>
      <c r="L306">
        <v>0</v>
      </c>
      <c r="M306">
        <v>7</v>
      </c>
      <c r="N306">
        <v>1</v>
      </c>
      <c r="O306" s="3">
        <f t="shared" si="29"/>
        <v>-2.0988796600000015</v>
      </c>
      <c r="P306" s="3">
        <f t="shared" si="30"/>
        <v>0.10920576000894505</v>
      </c>
      <c r="Q306" s="3">
        <f t="shared" si="31"/>
        <v>0</v>
      </c>
      <c r="R306" s="3">
        <f t="shared" si="32"/>
        <v>1</v>
      </c>
    </row>
  </sheetData>
  <mergeCells count="1">
    <mergeCell ref="A223:M2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6"/>
  <sheetViews>
    <sheetView tabSelected="1" topLeftCell="A10" workbookViewId="0">
      <selection activeCell="V27" sqref="V27"/>
    </sheetView>
  </sheetViews>
  <sheetFormatPr defaultRowHeight="15" x14ac:dyDescent="0.25"/>
  <cols>
    <col min="1" max="1" width="7.5703125" customWidth="1"/>
    <col min="2" max="2" width="6.42578125" customWidth="1"/>
    <col min="3" max="3" width="6.85546875" customWidth="1"/>
    <col min="4" max="4" width="7.5703125" bestFit="1" customWidth="1"/>
    <col min="5" max="5" width="6.85546875" customWidth="1"/>
    <col min="6" max="6" width="5.42578125" customWidth="1"/>
    <col min="7" max="7" width="6.7109375" bestFit="1" customWidth="1"/>
    <col min="8" max="8" width="6.85546875" bestFit="1" customWidth="1"/>
    <col min="9" max="9" width="5.7109375" bestFit="1" customWidth="1"/>
    <col min="10" max="10" width="7.42578125" bestFit="1" customWidth="1"/>
    <col min="11" max="11" width="5.28515625" bestFit="1" customWidth="1"/>
    <col min="12" max="12" width="5.140625" customWidth="1"/>
    <col min="13" max="13" width="5.85546875" customWidth="1"/>
    <col min="14" max="14" width="15.28515625" bestFit="1" customWidth="1"/>
    <col min="15" max="15" width="10.85546875" customWidth="1"/>
    <col min="17" max="17" width="24.85546875" bestFit="1" customWidth="1"/>
    <col min="19" max="19" width="11.85546875" bestFit="1" customWidth="1"/>
    <col min="20" max="20" width="12.42578125" bestFit="1" customWidth="1"/>
  </cols>
  <sheetData>
    <row r="1" spans="1:20" x14ac:dyDescent="0.25">
      <c r="A1" s="3">
        <v>13</v>
      </c>
      <c r="B1" s="3">
        <v>12</v>
      </c>
      <c r="C1" s="3">
        <v>11</v>
      </c>
      <c r="D1" s="3">
        <v>10</v>
      </c>
      <c r="E1" s="3">
        <v>9</v>
      </c>
      <c r="F1" s="3">
        <v>8</v>
      </c>
      <c r="G1" s="3">
        <v>7</v>
      </c>
      <c r="H1" s="3">
        <v>6</v>
      </c>
      <c r="I1" s="3">
        <v>5</v>
      </c>
      <c r="J1" s="3">
        <v>4</v>
      </c>
      <c r="K1" s="3">
        <v>3</v>
      </c>
      <c r="L1" s="3">
        <v>2</v>
      </c>
      <c r="M1" s="3">
        <v>1</v>
      </c>
      <c r="N1" s="3">
        <v>14</v>
      </c>
      <c r="O1" s="3"/>
      <c r="P1" s="3"/>
      <c r="Q1" s="3"/>
      <c r="R1" s="3"/>
      <c r="S1" s="3" t="s">
        <v>39</v>
      </c>
      <c r="T1" s="3">
        <f>SUM(T6:T219)</f>
        <v>70.417229125221212</v>
      </c>
    </row>
    <row r="2" spans="1:2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/>
      <c r="P2" s="3"/>
      <c r="Q2" s="3"/>
      <c r="R2" s="3"/>
      <c r="S2" s="3"/>
      <c r="T2" s="3"/>
    </row>
    <row r="3" spans="1:20" x14ac:dyDescent="0.25">
      <c r="A3" s="3">
        <f>INDEX(LINEST($N6:$N219, $A6:$M219), 1, A1)</f>
        <v>-1.0537637945556705E-3</v>
      </c>
      <c r="B3" s="3">
        <f t="shared" ref="B3:N3" si="0">INDEX(LINEST($N6:$N219, $A6:$M219), 1, B1)</f>
        <v>0.11219144928248172</v>
      </c>
      <c r="C3" s="3">
        <f t="shared" si="0"/>
        <v>0.10326991889521805</v>
      </c>
      <c r="D3" s="3">
        <f t="shared" si="0"/>
        <v>2.3955723505184488E-3</v>
      </c>
      <c r="E3" s="3">
        <f t="shared" si="0"/>
        <v>1.117783606677391E-4</v>
      </c>
      <c r="F3" s="3">
        <f t="shared" si="0"/>
        <v>-6.789020847422915E-2</v>
      </c>
      <c r="G3" s="3">
        <f t="shared" si="0"/>
        <v>2.1567322275336007E-2</v>
      </c>
      <c r="H3" s="3">
        <f t="shared" si="0"/>
        <v>-2.6475944947249022E-3</v>
      </c>
      <c r="I3" s="3">
        <f t="shared" si="0"/>
        <v>0.12454064278091105</v>
      </c>
      <c r="J3" s="3">
        <f t="shared" si="0"/>
        <v>3.1788647213536296E-2</v>
      </c>
      <c r="K3" s="3">
        <f t="shared" si="0"/>
        <v>8.6936423828833237E-2</v>
      </c>
      <c r="L3" s="3">
        <f t="shared" si="0"/>
        <v>0.15681921554991854</v>
      </c>
      <c r="M3" s="3">
        <f t="shared" si="0"/>
        <v>5.25396442585086E-2</v>
      </c>
      <c r="N3" s="3">
        <f t="shared" si="0"/>
        <v>-0.41230695948282103</v>
      </c>
      <c r="O3" s="3"/>
      <c r="P3" s="3"/>
      <c r="Q3" s="3" t="s">
        <v>36</v>
      </c>
      <c r="R3" s="3">
        <f>SUM(R224:R306)</f>
        <v>16</v>
      </c>
      <c r="S3" s="3"/>
      <c r="T3" s="3"/>
    </row>
    <row r="4" spans="1:20" x14ac:dyDescent="0.25">
      <c r="A4" s="3">
        <v>-1.1172245000000001E-2</v>
      </c>
      <c r="B4" s="3">
        <v>0.91088856900000004</v>
      </c>
      <c r="C4" s="3">
        <v>0.83360315900000004</v>
      </c>
      <c r="D4" s="3">
        <v>3.0926338000000001E-2</v>
      </c>
      <c r="E4" s="3">
        <v>2.4596129999999998E-3</v>
      </c>
      <c r="F4" s="3">
        <v>-0.499307789</v>
      </c>
      <c r="G4" s="3">
        <v>0.239148309</v>
      </c>
      <c r="H4" s="3">
        <v>-2.1034658000000001E-2</v>
      </c>
      <c r="I4" s="3">
        <v>0.73148345199999998</v>
      </c>
      <c r="J4" s="3">
        <v>0.22737281500000001</v>
      </c>
      <c r="K4" s="3">
        <v>0.85747121500000001</v>
      </c>
      <c r="L4" s="3">
        <v>1.4052657989999999</v>
      </c>
      <c r="M4" s="3">
        <v>0.30308518499999998</v>
      </c>
      <c r="N4" s="3">
        <v>-8.7246666220000009</v>
      </c>
      <c r="O4" s="3"/>
      <c r="P4" s="3"/>
      <c r="Q4" s="3" t="s">
        <v>37</v>
      </c>
      <c r="R4" s="5">
        <f>1-R3/(306-224+1)</f>
        <v>0.80722891566265065</v>
      </c>
      <c r="S4" s="3"/>
      <c r="T4" s="3"/>
    </row>
    <row r="5" spans="1:20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6" t="s">
        <v>13</v>
      </c>
      <c r="O5" s="4" t="s">
        <v>28</v>
      </c>
      <c r="P5" s="4" t="s">
        <v>29</v>
      </c>
      <c r="Q5" s="4" t="s">
        <v>32</v>
      </c>
      <c r="R5" s="4" t="s">
        <v>33</v>
      </c>
      <c r="S5" s="4" t="s">
        <v>34</v>
      </c>
      <c r="T5" s="4" t="s">
        <v>35</v>
      </c>
    </row>
    <row r="6" spans="1:20" x14ac:dyDescent="0.25">
      <c r="A6" s="3">
        <v>67</v>
      </c>
      <c r="B6" s="3">
        <v>1</v>
      </c>
      <c r="C6" s="3">
        <v>4</v>
      </c>
      <c r="D6" s="3">
        <v>160</v>
      </c>
      <c r="E6" s="3">
        <v>286</v>
      </c>
      <c r="F6" s="3">
        <v>0</v>
      </c>
      <c r="G6" s="3">
        <v>2</v>
      </c>
      <c r="H6" s="3">
        <v>108</v>
      </c>
      <c r="I6" s="3">
        <v>1</v>
      </c>
      <c r="J6" s="3">
        <v>1.5</v>
      </c>
      <c r="K6" s="3">
        <v>2</v>
      </c>
      <c r="L6" s="3">
        <v>3</v>
      </c>
      <c r="M6" s="3">
        <v>3</v>
      </c>
      <c r="N6" s="3">
        <v>1</v>
      </c>
      <c r="O6" s="7">
        <f>SUMPRODUCT(A$4:M$4, A6:M6)+N$4</f>
        <v>6.5428491765000008</v>
      </c>
      <c r="P6" s="7">
        <f>1/(1+EXP(0-O6))</f>
        <v>0.99856169295310226</v>
      </c>
      <c r="Q6" s="7">
        <f>IF(P6&lt;=0.5, 0, 1)</f>
        <v>1</v>
      </c>
      <c r="R6" s="3">
        <f>IF(N6=Q6, 0, 1)</f>
        <v>0</v>
      </c>
      <c r="S6" s="3">
        <f>IF(N6=1, P6, 1-P6)</f>
        <v>0.99856169295310226</v>
      </c>
      <c r="T6" s="3">
        <f>IF(S6=0, 100000, -LN(S6))</f>
        <v>1.4393424033710719E-3</v>
      </c>
    </row>
    <row r="7" spans="1:20" x14ac:dyDescent="0.25">
      <c r="A7" s="3">
        <v>57</v>
      </c>
      <c r="B7" s="3">
        <v>0</v>
      </c>
      <c r="C7" s="3">
        <v>4</v>
      </c>
      <c r="D7" s="3">
        <v>120</v>
      </c>
      <c r="E7" s="3">
        <v>354</v>
      </c>
      <c r="F7" s="3">
        <v>0</v>
      </c>
      <c r="G7" s="3">
        <v>0</v>
      </c>
      <c r="H7" s="3">
        <v>163</v>
      </c>
      <c r="I7" s="3">
        <v>1</v>
      </c>
      <c r="J7" s="3">
        <v>0.6</v>
      </c>
      <c r="K7" s="3">
        <v>1</v>
      </c>
      <c r="L7" s="3">
        <v>0</v>
      </c>
      <c r="M7" s="3">
        <v>3</v>
      </c>
      <c r="N7" s="3">
        <v>0</v>
      </c>
      <c r="O7" s="7">
        <f t="shared" ref="O7:O70" si="1">SUMPRODUCT(A$4:M$4, A7:M7)+N$4</f>
        <v>-2.2392237320000001</v>
      </c>
      <c r="P7" s="7">
        <f t="shared" ref="P7:P70" si="2">1/(1+EXP(0-O7))</f>
        <v>9.6283065671445983E-2</v>
      </c>
      <c r="Q7" s="7">
        <f t="shared" ref="Q7:Q70" si="3">IF(P7&lt;=0.5, 0, 1)</f>
        <v>0</v>
      </c>
      <c r="R7" s="3">
        <f t="shared" ref="R7:R70" si="4">IF(N7=Q7, 0, 1)</f>
        <v>0</v>
      </c>
      <c r="S7" s="3">
        <f t="shared" ref="S7:S70" si="5">IF(N7=1, P7, 1-P7)</f>
        <v>0.90371693432855404</v>
      </c>
      <c r="T7" s="3">
        <f t="shared" ref="T7:T70" si="6">IF(S7=0, 100000, -LN(S7))</f>
        <v>0.10123909336681206</v>
      </c>
    </row>
    <row r="8" spans="1:20" x14ac:dyDescent="0.25">
      <c r="A8" s="3">
        <v>56</v>
      </c>
      <c r="B8" s="3">
        <v>0</v>
      </c>
      <c r="C8" s="3">
        <v>2</v>
      </c>
      <c r="D8" s="3">
        <v>140</v>
      </c>
      <c r="E8" s="3">
        <v>294</v>
      </c>
      <c r="F8" s="3">
        <v>0</v>
      </c>
      <c r="G8" s="3">
        <v>2</v>
      </c>
      <c r="H8" s="3">
        <v>153</v>
      </c>
      <c r="I8" s="3">
        <v>0</v>
      </c>
      <c r="J8" s="3">
        <v>1.3</v>
      </c>
      <c r="K8" s="3">
        <v>2</v>
      </c>
      <c r="L8" s="3">
        <v>0</v>
      </c>
      <c r="M8" s="3">
        <v>3</v>
      </c>
      <c r="N8" s="3">
        <v>0</v>
      </c>
      <c r="O8" s="7">
        <f t="shared" si="1"/>
        <v>-2.4505158935000004</v>
      </c>
      <c r="P8" s="7">
        <f t="shared" si="2"/>
        <v>7.9400831074359357E-2</v>
      </c>
      <c r="Q8" s="7">
        <f t="shared" si="3"/>
        <v>0</v>
      </c>
      <c r="R8" s="3">
        <f t="shared" si="4"/>
        <v>0</v>
      </c>
      <c r="S8" s="3">
        <f t="shared" si="5"/>
        <v>0.92059916892564064</v>
      </c>
      <c r="T8" s="3">
        <f t="shared" si="6"/>
        <v>8.2730550352346499E-2</v>
      </c>
    </row>
    <row r="9" spans="1:20" x14ac:dyDescent="0.25">
      <c r="A9" s="3">
        <v>49</v>
      </c>
      <c r="B9" s="3">
        <v>1</v>
      </c>
      <c r="C9" s="3">
        <v>2</v>
      </c>
      <c r="D9" s="3">
        <v>130</v>
      </c>
      <c r="E9" s="3">
        <v>266</v>
      </c>
      <c r="F9" s="3">
        <v>0</v>
      </c>
      <c r="G9" s="3">
        <v>0</v>
      </c>
      <c r="H9" s="3">
        <v>171</v>
      </c>
      <c r="I9" s="3">
        <v>0</v>
      </c>
      <c r="J9" s="3">
        <v>0.6</v>
      </c>
      <c r="K9" s="3">
        <v>1</v>
      </c>
      <c r="L9" s="3">
        <v>0</v>
      </c>
      <c r="M9" s="3">
        <v>3</v>
      </c>
      <c r="N9" s="3">
        <v>0</v>
      </c>
      <c r="O9" s="7">
        <f t="shared" si="1"/>
        <v>-3.7131068010000003</v>
      </c>
      <c r="P9" s="7">
        <f t="shared" si="2"/>
        <v>2.3820340204552402E-2</v>
      </c>
      <c r="Q9" s="7">
        <f t="shared" si="3"/>
        <v>0</v>
      </c>
      <c r="R9" s="3">
        <f t="shared" si="4"/>
        <v>0</v>
      </c>
      <c r="S9" s="3">
        <f t="shared" si="5"/>
        <v>0.97617965979544763</v>
      </c>
      <c r="T9" s="3">
        <f t="shared" si="6"/>
        <v>2.4108631849987929E-2</v>
      </c>
    </row>
    <row r="10" spans="1:20" x14ac:dyDescent="0.25">
      <c r="A10" s="3">
        <v>64</v>
      </c>
      <c r="B10" s="3">
        <v>1</v>
      </c>
      <c r="C10" s="3">
        <v>1</v>
      </c>
      <c r="D10" s="3">
        <v>110</v>
      </c>
      <c r="E10" s="3">
        <v>211</v>
      </c>
      <c r="F10" s="3">
        <v>0</v>
      </c>
      <c r="G10" s="3">
        <v>2</v>
      </c>
      <c r="H10" s="3">
        <v>144</v>
      </c>
      <c r="I10" s="3">
        <v>1</v>
      </c>
      <c r="J10" s="3">
        <v>1.8</v>
      </c>
      <c r="K10" s="3">
        <v>2</v>
      </c>
      <c r="L10" s="3">
        <v>0</v>
      </c>
      <c r="M10" s="3">
        <v>3</v>
      </c>
      <c r="N10" s="3">
        <v>0</v>
      </c>
      <c r="O10" s="7">
        <f t="shared" si="1"/>
        <v>-2.560064681000001</v>
      </c>
      <c r="P10" s="7">
        <f t="shared" si="2"/>
        <v>7.1753234085333947E-2</v>
      </c>
      <c r="Q10" s="7">
        <f t="shared" si="3"/>
        <v>0</v>
      </c>
      <c r="R10" s="3">
        <f t="shared" si="4"/>
        <v>0</v>
      </c>
      <c r="S10" s="3">
        <f t="shared" si="5"/>
        <v>0.92824676591466604</v>
      </c>
      <c r="T10" s="3">
        <f t="shared" si="6"/>
        <v>7.4457669998169093E-2</v>
      </c>
    </row>
    <row r="11" spans="1:20" x14ac:dyDescent="0.25">
      <c r="A11" s="3">
        <v>42</v>
      </c>
      <c r="B11" s="3">
        <v>1</v>
      </c>
      <c r="C11" s="3">
        <v>4</v>
      </c>
      <c r="D11" s="3">
        <v>140</v>
      </c>
      <c r="E11" s="3">
        <v>226</v>
      </c>
      <c r="F11" s="3">
        <v>0</v>
      </c>
      <c r="G11" s="3">
        <v>0</v>
      </c>
      <c r="H11" s="3">
        <v>178</v>
      </c>
      <c r="I11" s="3">
        <v>0</v>
      </c>
      <c r="J11" s="3">
        <v>0</v>
      </c>
      <c r="K11" s="3">
        <v>1</v>
      </c>
      <c r="L11" s="3">
        <v>0</v>
      </c>
      <c r="M11" s="3">
        <v>3</v>
      </c>
      <c r="N11" s="3">
        <v>0</v>
      </c>
      <c r="O11" s="7">
        <f t="shared" si="1"/>
        <v>-2.0404822030000016</v>
      </c>
      <c r="P11" s="7">
        <f t="shared" si="2"/>
        <v>0.11501764017319679</v>
      </c>
      <c r="Q11" s="7">
        <f t="shared" si="3"/>
        <v>0</v>
      </c>
      <c r="R11" s="3">
        <f t="shared" si="4"/>
        <v>0</v>
      </c>
      <c r="S11" s="3">
        <f t="shared" si="5"/>
        <v>0.88498235982680318</v>
      </c>
      <c r="T11" s="3">
        <f t="shared" si="6"/>
        <v>0.1221875665719529</v>
      </c>
    </row>
    <row r="12" spans="1:20" x14ac:dyDescent="0.25">
      <c r="A12" s="3">
        <v>55</v>
      </c>
      <c r="B12" s="3">
        <v>1</v>
      </c>
      <c r="C12" s="3">
        <v>4</v>
      </c>
      <c r="D12" s="3">
        <v>132</v>
      </c>
      <c r="E12" s="3">
        <v>353</v>
      </c>
      <c r="F12" s="3">
        <v>0</v>
      </c>
      <c r="G12" s="3">
        <v>0</v>
      </c>
      <c r="H12" s="3">
        <v>132</v>
      </c>
      <c r="I12" s="3">
        <v>1</v>
      </c>
      <c r="J12" s="3">
        <v>1.2</v>
      </c>
      <c r="K12" s="3">
        <v>2</v>
      </c>
      <c r="L12" s="3">
        <v>1</v>
      </c>
      <c r="M12" s="3">
        <v>7</v>
      </c>
      <c r="N12" s="3">
        <v>1</v>
      </c>
      <c r="O12" s="7">
        <f t="shared" si="1"/>
        <v>3.3262416110000004</v>
      </c>
      <c r="P12" s="7">
        <f t="shared" si="2"/>
        <v>0.96531816239507828</v>
      </c>
      <c r="Q12" s="7">
        <f t="shared" si="3"/>
        <v>1</v>
      </c>
      <c r="R12" s="3">
        <f t="shared" si="4"/>
        <v>0</v>
      </c>
      <c r="S12" s="3">
        <f t="shared" si="5"/>
        <v>0.96531816239507828</v>
      </c>
      <c r="T12" s="3">
        <f t="shared" si="6"/>
        <v>3.5297530019088287E-2</v>
      </c>
    </row>
    <row r="13" spans="1:20" x14ac:dyDescent="0.25">
      <c r="A13" s="3">
        <v>61</v>
      </c>
      <c r="B13" s="3">
        <v>1</v>
      </c>
      <c r="C13" s="3">
        <v>3</v>
      </c>
      <c r="D13" s="3">
        <v>150</v>
      </c>
      <c r="E13" s="3">
        <v>243</v>
      </c>
      <c r="F13" s="3">
        <v>1</v>
      </c>
      <c r="G13" s="3">
        <v>0</v>
      </c>
      <c r="H13" s="3">
        <v>137</v>
      </c>
      <c r="I13" s="3">
        <v>1</v>
      </c>
      <c r="J13" s="3">
        <v>1</v>
      </c>
      <c r="K13" s="3">
        <v>2</v>
      </c>
      <c r="L13" s="3">
        <v>0</v>
      </c>
      <c r="M13" s="3">
        <v>3</v>
      </c>
      <c r="N13" s="3">
        <v>0</v>
      </c>
      <c r="O13" s="7">
        <f t="shared" si="1"/>
        <v>-0.55584054500000057</v>
      </c>
      <c r="P13" s="7">
        <f t="shared" si="2"/>
        <v>0.36451042250433208</v>
      </c>
      <c r="Q13" s="7">
        <f t="shared" si="3"/>
        <v>0</v>
      </c>
      <c r="R13" s="3">
        <f t="shared" si="4"/>
        <v>0</v>
      </c>
      <c r="S13" s="3">
        <f t="shared" si="5"/>
        <v>0.63548957749566792</v>
      </c>
      <c r="T13" s="3">
        <f t="shared" si="6"/>
        <v>0.45335958896600365</v>
      </c>
    </row>
    <row r="14" spans="1:20" x14ac:dyDescent="0.25">
      <c r="A14" s="3">
        <v>71</v>
      </c>
      <c r="B14" s="3">
        <v>0</v>
      </c>
      <c r="C14" s="3">
        <v>2</v>
      </c>
      <c r="D14" s="3">
        <v>160</v>
      </c>
      <c r="E14" s="3">
        <v>302</v>
      </c>
      <c r="F14" s="3">
        <v>0</v>
      </c>
      <c r="G14" s="3">
        <v>0</v>
      </c>
      <c r="H14" s="3">
        <v>162</v>
      </c>
      <c r="I14" s="3">
        <v>0</v>
      </c>
      <c r="J14" s="3">
        <v>0.4</v>
      </c>
      <c r="K14" s="3">
        <v>1</v>
      </c>
      <c r="L14" s="3">
        <v>2</v>
      </c>
      <c r="M14" s="3">
        <v>3</v>
      </c>
      <c r="N14" s="3">
        <v>0</v>
      </c>
      <c r="O14" s="7">
        <f t="shared" si="1"/>
        <v>-0.89907959500000079</v>
      </c>
      <c r="P14" s="7">
        <f t="shared" si="2"/>
        <v>0.28923967760305952</v>
      </c>
      <c r="Q14" s="7">
        <f t="shared" si="3"/>
        <v>0</v>
      </c>
      <c r="R14" s="3">
        <f t="shared" si="4"/>
        <v>0</v>
      </c>
      <c r="S14" s="3">
        <f t="shared" si="5"/>
        <v>0.71076032239694054</v>
      </c>
      <c r="T14" s="3">
        <f t="shared" si="6"/>
        <v>0.34142000531070582</v>
      </c>
    </row>
    <row r="15" spans="1:20" x14ac:dyDescent="0.25">
      <c r="A15" s="3">
        <v>61</v>
      </c>
      <c r="B15" s="3">
        <v>0</v>
      </c>
      <c r="C15" s="3">
        <v>4</v>
      </c>
      <c r="D15" s="3">
        <v>130</v>
      </c>
      <c r="E15" s="3">
        <v>330</v>
      </c>
      <c r="F15" s="3">
        <v>0</v>
      </c>
      <c r="G15" s="3">
        <v>2</v>
      </c>
      <c r="H15" s="3">
        <v>169</v>
      </c>
      <c r="I15" s="3">
        <v>0</v>
      </c>
      <c r="J15" s="3">
        <v>0</v>
      </c>
      <c r="K15" s="3">
        <v>1</v>
      </c>
      <c r="L15" s="3">
        <v>0</v>
      </c>
      <c r="M15" s="3">
        <v>3</v>
      </c>
      <c r="N15" s="3">
        <v>1</v>
      </c>
      <c r="O15" s="7">
        <f t="shared" si="1"/>
        <v>-2.5494985150000007</v>
      </c>
      <c r="P15" s="7">
        <f t="shared" si="2"/>
        <v>7.2460182794683387E-2</v>
      </c>
      <c r="Q15" s="7">
        <f t="shared" si="3"/>
        <v>0</v>
      </c>
      <c r="R15" s="3">
        <f t="shared" si="4"/>
        <v>1</v>
      </c>
      <c r="S15" s="3">
        <f t="shared" si="5"/>
        <v>7.2460182794683387E-2</v>
      </c>
      <c r="T15" s="3">
        <f t="shared" si="6"/>
        <v>2.6247180708205771</v>
      </c>
    </row>
    <row r="16" spans="1:20" x14ac:dyDescent="0.25">
      <c r="A16" s="3">
        <v>50</v>
      </c>
      <c r="B16" s="3">
        <v>1</v>
      </c>
      <c r="C16" s="3">
        <v>4</v>
      </c>
      <c r="D16" s="3">
        <v>150</v>
      </c>
      <c r="E16" s="3">
        <v>243</v>
      </c>
      <c r="F16" s="3">
        <v>0</v>
      </c>
      <c r="G16" s="3">
        <v>2</v>
      </c>
      <c r="H16" s="3">
        <v>128</v>
      </c>
      <c r="I16" s="3">
        <v>0</v>
      </c>
      <c r="J16" s="3">
        <v>2.6</v>
      </c>
      <c r="K16" s="3">
        <v>2</v>
      </c>
      <c r="L16" s="3">
        <v>0</v>
      </c>
      <c r="M16" s="3">
        <v>7</v>
      </c>
      <c r="N16" s="3">
        <v>1</v>
      </c>
      <c r="O16" s="7">
        <f t="shared" si="1"/>
        <v>2.4122274299999997</v>
      </c>
      <c r="P16" s="7">
        <f t="shared" si="2"/>
        <v>0.91775496656618627</v>
      </c>
      <c r="Q16" s="7">
        <f t="shared" si="3"/>
        <v>1</v>
      </c>
      <c r="R16" s="3">
        <f t="shared" si="4"/>
        <v>0</v>
      </c>
      <c r="S16" s="3">
        <f t="shared" si="5"/>
        <v>0.91775496656618627</v>
      </c>
      <c r="T16" s="3">
        <f t="shared" si="6"/>
        <v>8.582484494325103E-2</v>
      </c>
    </row>
    <row r="17" spans="1:20" x14ac:dyDescent="0.25">
      <c r="A17" s="3">
        <v>44</v>
      </c>
      <c r="B17" s="3">
        <v>1</v>
      </c>
      <c r="C17" s="3">
        <v>2</v>
      </c>
      <c r="D17" s="3">
        <v>130</v>
      </c>
      <c r="E17" s="3">
        <v>219</v>
      </c>
      <c r="F17" s="3">
        <v>0</v>
      </c>
      <c r="G17" s="3">
        <v>2</v>
      </c>
      <c r="H17" s="3">
        <v>188</v>
      </c>
      <c r="I17" s="3">
        <v>0</v>
      </c>
      <c r="J17" s="3">
        <v>0</v>
      </c>
      <c r="K17" s="3">
        <v>1</v>
      </c>
      <c r="L17" s="3">
        <v>0</v>
      </c>
      <c r="M17" s="3">
        <v>3</v>
      </c>
      <c r="N17" s="3">
        <v>0</v>
      </c>
      <c r="O17" s="7">
        <f t="shared" si="1"/>
        <v>-3.7885636440000008</v>
      </c>
      <c r="P17" s="7">
        <f t="shared" si="2"/>
        <v>2.2127380355361624E-2</v>
      </c>
      <c r="Q17" s="7">
        <f t="shared" si="3"/>
        <v>0</v>
      </c>
      <c r="R17" s="3">
        <f t="shared" si="4"/>
        <v>0</v>
      </c>
      <c r="S17" s="3">
        <f t="shared" si="5"/>
        <v>0.97787261964463834</v>
      </c>
      <c r="T17" s="3">
        <f t="shared" si="6"/>
        <v>2.2375863192164044E-2</v>
      </c>
    </row>
    <row r="18" spans="1:20" x14ac:dyDescent="0.25">
      <c r="A18" s="3">
        <v>51</v>
      </c>
      <c r="B18" s="3">
        <v>0</v>
      </c>
      <c r="C18" s="3">
        <v>4</v>
      </c>
      <c r="D18" s="3">
        <v>130</v>
      </c>
      <c r="E18" s="3">
        <v>305</v>
      </c>
      <c r="F18" s="3">
        <v>0</v>
      </c>
      <c r="G18" s="3">
        <v>0</v>
      </c>
      <c r="H18" s="3">
        <v>142</v>
      </c>
      <c r="I18" s="3">
        <v>1</v>
      </c>
      <c r="J18" s="3">
        <v>1.2</v>
      </c>
      <c r="K18" s="3">
        <v>2</v>
      </c>
      <c r="L18" s="3">
        <v>0</v>
      </c>
      <c r="M18" s="3">
        <v>7</v>
      </c>
      <c r="N18" s="3">
        <v>1</v>
      </c>
      <c r="O18" s="7">
        <f t="shared" si="1"/>
        <v>0.66451554300000026</v>
      </c>
      <c r="P18" s="7">
        <f t="shared" si="2"/>
        <v>0.66027401188304036</v>
      </c>
      <c r="Q18" s="7">
        <f t="shared" si="3"/>
        <v>1</v>
      </c>
      <c r="R18" s="3">
        <f t="shared" si="4"/>
        <v>0</v>
      </c>
      <c r="S18" s="3">
        <f t="shared" si="5"/>
        <v>0.66027401188304036</v>
      </c>
      <c r="T18" s="3">
        <f t="shared" si="6"/>
        <v>0.41510036060092653</v>
      </c>
    </row>
    <row r="19" spans="1:20" x14ac:dyDescent="0.25">
      <c r="A19" s="3">
        <v>58</v>
      </c>
      <c r="B19" s="3">
        <v>1</v>
      </c>
      <c r="C19" s="3">
        <v>4</v>
      </c>
      <c r="D19" s="3">
        <v>128</v>
      </c>
      <c r="E19" s="3">
        <v>216</v>
      </c>
      <c r="F19" s="3">
        <v>0</v>
      </c>
      <c r="G19" s="3">
        <v>2</v>
      </c>
      <c r="H19" s="3">
        <v>131</v>
      </c>
      <c r="I19" s="3">
        <v>1</v>
      </c>
      <c r="J19" s="3">
        <v>2.2000000000000002</v>
      </c>
      <c r="K19" s="3">
        <v>2</v>
      </c>
      <c r="L19" s="3">
        <v>3</v>
      </c>
      <c r="M19" s="3">
        <v>7</v>
      </c>
      <c r="N19" s="3">
        <v>1</v>
      </c>
      <c r="O19" s="7">
        <f t="shared" si="1"/>
        <v>6.3692882319999988</v>
      </c>
      <c r="P19" s="7">
        <f t="shared" si="2"/>
        <v>0.99828955232444616</v>
      </c>
      <c r="Q19" s="7">
        <f t="shared" si="3"/>
        <v>1</v>
      </c>
      <c r="R19" s="3">
        <f t="shared" si="4"/>
        <v>0</v>
      </c>
      <c r="S19" s="3">
        <f t="shared" si="5"/>
        <v>0.99828955232444616</v>
      </c>
      <c r="T19" s="3">
        <f t="shared" si="6"/>
        <v>1.7119121613683953E-3</v>
      </c>
    </row>
    <row r="20" spans="1:20" x14ac:dyDescent="0.25">
      <c r="A20" s="3">
        <v>54</v>
      </c>
      <c r="B20" s="3">
        <v>1</v>
      </c>
      <c r="C20" s="3">
        <v>4</v>
      </c>
      <c r="D20" s="3">
        <v>120</v>
      </c>
      <c r="E20" s="3">
        <v>188</v>
      </c>
      <c r="F20" s="3">
        <v>0</v>
      </c>
      <c r="G20" s="3">
        <v>0</v>
      </c>
      <c r="H20" s="3">
        <v>113</v>
      </c>
      <c r="I20" s="3">
        <v>0</v>
      </c>
      <c r="J20" s="3">
        <v>1.4</v>
      </c>
      <c r="K20" s="3">
        <v>2</v>
      </c>
      <c r="L20" s="3">
        <v>1</v>
      </c>
      <c r="M20" s="3">
        <v>7</v>
      </c>
      <c r="N20" s="3">
        <v>1</v>
      </c>
      <c r="O20" s="7">
        <f t="shared" si="1"/>
        <v>2.2741112679999986</v>
      </c>
      <c r="P20" s="7">
        <f t="shared" si="2"/>
        <v>0.90671012902681136</v>
      </c>
      <c r="Q20" s="7">
        <f t="shared" si="3"/>
        <v>1</v>
      </c>
      <c r="R20" s="3">
        <f t="shared" si="4"/>
        <v>0</v>
      </c>
      <c r="S20" s="3">
        <f t="shared" si="5"/>
        <v>0.90671012902681136</v>
      </c>
      <c r="T20" s="3">
        <f t="shared" si="6"/>
        <v>9.7932473082487342E-2</v>
      </c>
    </row>
    <row r="21" spans="1:20" x14ac:dyDescent="0.25">
      <c r="A21" s="3">
        <v>59</v>
      </c>
      <c r="B21" s="3">
        <v>1</v>
      </c>
      <c r="C21" s="3">
        <v>4</v>
      </c>
      <c r="D21" s="3">
        <v>170</v>
      </c>
      <c r="E21" s="3">
        <v>326</v>
      </c>
      <c r="F21" s="3">
        <v>0</v>
      </c>
      <c r="G21" s="3">
        <v>2</v>
      </c>
      <c r="H21" s="3">
        <v>140</v>
      </c>
      <c r="I21" s="3">
        <v>1</v>
      </c>
      <c r="J21" s="3">
        <v>3.4</v>
      </c>
      <c r="K21" s="3">
        <v>3</v>
      </c>
      <c r="L21" s="3">
        <v>0</v>
      </c>
      <c r="M21" s="3">
        <v>7</v>
      </c>
      <c r="N21" s="3">
        <v>1</v>
      </c>
      <c r="O21" s="7">
        <f t="shared" si="1"/>
        <v>4.6527888869999998</v>
      </c>
      <c r="P21" s="7">
        <f t="shared" si="2"/>
        <v>0.99055508416288396</v>
      </c>
      <c r="Q21" s="7">
        <f t="shared" si="3"/>
        <v>1</v>
      </c>
      <c r="R21" s="3">
        <f t="shared" si="4"/>
        <v>0</v>
      </c>
      <c r="S21" s="3">
        <f t="shared" si="5"/>
        <v>0.99055508416288396</v>
      </c>
      <c r="T21" s="3">
        <f t="shared" si="6"/>
        <v>9.4898019083903412E-3</v>
      </c>
    </row>
    <row r="22" spans="1:20" x14ac:dyDescent="0.25">
      <c r="A22" s="3">
        <v>65</v>
      </c>
      <c r="B22" s="3">
        <v>0</v>
      </c>
      <c r="C22" s="3">
        <v>3</v>
      </c>
      <c r="D22" s="3">
        <v>155</v>
      </c>
      <c r="E22" s="3">
        <v>269</v>
      </c>
      <c r="F22" s="3">
        <v>0</v>
      </c>
      <c r="G22" s="3">
        <v>0</v>
      </c>
      <c r="H22" s="3">
        <v>148</v>
      </c>
      <c r="I22" s="3">
        <v>0</v>
      </c>
      <c r="J22" s="3">
        <v>0.8</v>
      </c>
      <c r="K22" s="3">
        <v>1</v>
      </c>
      <c r="L22" s="3">
        <v>0</v>
      </c>
      <c r="M22" s="3">
        <v>3</v>
      </c>
      <c r="N22" s="3">
        <v>0</v>
      </c>
      <c r="O22" s="7">
        <f t="shared" si="1"/>
        <v>-2.6593391450000006</v>
      </c>
      <c r="P22" s="7">
        <f t="shared" si="2"/>
        <v>6.5415724190466637E-2</v>
      </c>
      <c r="Q22" s="7">
        <f t="shared" si="3"/>
        <v>0</v>
      </c>
      <c r="R22" s="3">
        <f t="shared" si="4"/>
        <v>0</v>
      </c>
      <c r="S22" s="3">
        <f t="shared" si="5"/>
        <v>0.9345842758095334</v>
      </c>
      <c r="T22" s="3">
        <f t="shared" si="6"/>
        <v>6.7653473371004927E-2</v>
      </c>
    </row>
    <row r="23" spans="1:20" x14ac:dyDescent="0.25">
      <c r="A23" s="3">
        <v>65</v>
      </c>
      <c r="B23" s="3">
        <v>1</v>
      </c>
      <c r="C23" s="3">
        <v>4</v>
      </c>
      <c r="D23" s="3">
        <v>110</v>
      </c>
      <c r="E23" s="3">
        <v>248</v>
      </c>
      <c r="F23" s="3">
        <v>0</v>
      </c>
      <c r="G23" s="3">
        <v>2</v>
      </c>
      <c r="H23" s="3">
        <v>158</v>
      </c>
      <c r="I23" s="3">
        <v>0</v>
      </c>
      <c r="J23" s="3">
        <v>0.6</v>
      </c>
      <c r="K23" s="3">
        <v>1</v>
      </c>
      <c r="L23" s="3">
        <v>2</v>
      </c>
      <c r="M23" s="3">
        <v>6</v>
      </c>
      <c r="N23" s="3">
        <v>1</v>
      </c>
      <c r="O23" s="7">
        <f t="shared" si="1"/>
        <v>1.5840781279999998</v>
      </c>
      <c r="P23" s="7">
        <f t="shared" si="2"/>
        <v>0.82978130519074589</v>
      </c>
      <c r="Q23" s="7">
        <f t="shared" si="3"/>
        <v>1</v>
      </c>
      <c r="R23" s="3">
        <f t="shared" si="4"/>
        <v>0</v>
      </c>
      <c r="S23" s="3">
        <f t="shared" si="5"/>
        <v>0.82978130519074589</v>
      </c>
      <c r="T23" s="3">
        <f t="shared" si="6"/>
        <v>0.186593100632475</v>
      </c>
    </row>
    <row r="24" spans="1:20" x14ac:dyDescent="0.25">
      <c r="A24" s="3">
        <v>60</v>
      </c>
      <c r="B24" s="3">
        <v>1</v>
      </c>
      <c r="C24" s="3">
        <v>4</v>
      </c>
      <c r="D24" s="3">
        <v>125</v>
      </c>
      <c r="E24" s="3">
        <v>258</v>
      </c>
      <c r="F24" s="3">
        <v>0</v>
      </c>
      <c r="G24" s="3">
        <v>2</v>
      </c>
      <c r="H24" s="3">
        <v>141</v>
      </c>
      <c r="I24" s="3">
        <v>1</v>
      </c>
      <c r="J24" s="3">
        <v>2.8</v>
      </c>
      <c r="K24" s="3">
        <v>2</v>
      </c>
      <c r="L24" s="3">
        <v>1</v>
      </c>
      <c r="M24" s="3">
        <v>7</v>
      </c>
      <c r="N24" s="3">
        <v>1</v>
      </c>
      <c r="O24" s="7">
        <f t="shared" si="1"/>
        <v>3.4730139849999997</v>
      </c>
      <c r="P24" s="7">
        <f t="shared" si="2"/>
        <v>0.96991010482954443</v>
      </c>
      <c r="Q24" s="7">
        <f t="shared" si="3"/>
        <v>1</v>
      </c>
      <c r="R24" s="3">
        <f t="shared" si="4"/>
        <v>0</v>
      </c>
      <c r="S24" s="3">
        <f t="shared" si="5"/>
        <v>0.96991010482954443</v>
      </c>
      <c r="T24" s="3">
        <f t="shared" si="6"/>
        <v>3.0551887212801221E-2</v>
      </c>
    </row>
    <row r="25" spans="1:20" x14ac:dyDescent="0.25">
      <c r="A25" s="3">
        <v>44</v>
      </c>
      <c r="B25" s="3">
        <v>0</v>
      </c>
      <c r="C25" s="3">
        <v>3</v>
      </c>
      <c r="D25" s="3">
        <v>108</v>
      </c>
      <c r="E25" s="3">
        <v>141</v>
      </c>
      <c r="F25" s="3">
        <v>0</v>
      </c>
      <c r="G25" s="3">
        <v>0</v>
      </c>
      <c r="H25" s="3">
        <v>175</v>
      </c>
      <c r="I25" s="3">
        <v>0</v>
      </c>
      <c r="J25" s="3">
        <v>0.6</v>
      </c>
      <c r="K25" s="3">
        <v>2</v>
      </c>
      <c r="L25" s="3">
        <v>0</v>
      </c>
      <c r="M25" s="3">
        <v>3</v>
      </c>
      <c r="N25" s="3">
        <v>0</v>
      </c>
      <c r="O25" s="7">
        <f t="shared" si="1"/>
        <v>-3.9490294640000014</v>
      </c>
      <c r="P25" s="7">
        <f t="shared" si="2"/>
        <v>1.890895834371752E-2</v>
      </c>
      <c r="Q25" s="7">
        <f t="shared" si="3"/>
        <v>0</v>
      </c>
      <c r="R25" s="3">
        <f t="shared" si="4"/>
        <v>0</v>
      </c>
      <c r="S25" s="3">
        <f t="shared" si="5"/>
        <v>0.98109104165628247</v>
      </c>
      <c r="T25" s="3">
        <f t="shared" si="6"/>
        <v>1.9090018772548047E-2</v>
      </c>
    </row>
    <row r="26" spans="1:20" x14ac:dyDescent="0.25">
      <c r="A26" s="3">
        <v>52</v>
      </c>
      <c r="B26" s="3">
        <v>1</v>
      </c>
      <c r="C26" s="3">
        <v>4</v>
      </c>
      <c r="D26" s="3">
        <v>128</v>
      </c>
      <c r="E26" s="3">
        <v>255</v>
      </c>
      <c r="F26" s="3">
        <v>0</v>
      </c>
      <c r="G26" s="3">
        <v>0</v>
      </c>
      <c r="H26" s="3">
        <v>161</v>
      </c>
      <c r="I26" s="3">
        <v>1</v>
      </c>
      <c r="J26" s="3">
        <v>0</v>
      </c>
      <c r="K26" s="3">
        <v>1</v>
      </c>
      <c r="L26" s="3">
        <v>1</v>
      </c>
      <c r="M26" s="3">
        <v>7</v>
      </c>
      <c r="N26" s="3">
        <v>1</v>
      </c>
      <c r="O26" s="7">
        <f t="shared" si="1"/>
        <v>1.2546872449999995</v>
      </c>
      <c r="P26" s="7">
        <f t="shared" si="2"/>
        <v>0.77811019099407719</v>
      </c>
      <c r="Q26" s="7">
        <f t="shared" si="3"/>
        <v>1</v>
      </c>
      <c r="R26" s="3">
        <f t="shared" si="4"/>
        <v>0</v>
      </c>
      <c r="S26" s="3">
        <f t="shared" si="5"/>
        <v>0.77811019099407719</v>
      </c>
      <c r="T26" s="3">
        <f t="shared" si="6"/>
        <v>0.25088713116436684</v>
      </c>
    </row>
    <row r="27" spans="1:20" x14ac:dyDescent="0.25">
      <c r="A27" s="3">
        <v>61</v>
      </c>
      <c r="B27" s="3">
        <v>1</v>
      </c>
      <c r="C27" s="3">
        <v>4</v>
      </c>
      <c r="D27" s="3">
        <v>120</v>
      </c>
      <c r="E27" s="3">
        <v>260</v>
      </c>
      <c r="F27" s="3">
        <v>0</v>
      </c>
      <c r="G27" s="3">
        <v>0</v>
      </c>
      <c r="H27" s="3">
        <v>140</v>
      </c>
      <c r="I27" s="3">
        <v>1</v>
      </c>
      <c r="J27" s="3">
        <v>3.6</v>
      </c>
      <c r="K27" s="3">
        <v>2</v>
      </c>
      <c r="L27" s="3">
        <v>1</v>
      </c>
      <c r="M27" s="3">
        <v>7</v>
      </c>
      <c r="N27" s="3">
        <v>1</v>
      </c>
      <c r="O27" s="7">
        <f t="shared" si="1"/>
        <v>3.0367655679999999</v>
      </c>
      <c r="P27" s="7">
        <f t="shared" si="2"/>
        <v>0.95420770699469781</v>
      </c>
      <c r="Q27" s="7">
        <f t="shared" si="3"/>
        <v>1</v>
      </c>
      <c r="R27" s="3">
        <f t="shared" si="4"/>
        <v>0</v>
      </c>
      <c r="S27" s="3">
        <f t="shared" si="5"/>
        <v>0.95420770699469781</v>
      </c>
      <c r="T27" s="3">
        <f t="shared" si="6"/>
        <v>4.6873909015228303E-2</v>
      </c>
    </row>
    <row r="28" spans="1:20" x14ac:dyDescent="0.25">
      <c r="A28" s="3">
        <v>39</v>
      </c>
      <c r="B28" s="3">
        <v>1</v>
      </c>
      <c r="C28" s="3">
        <v>4</v>
      </c>
      <c r="D28" s="3">
        <v>118</v>
      </c>
      <c r="E28" s="3">
        <v>219</v>
      </c>
      <c r="F28" s="3">
        <v>0</v>
      </c>
      <c r="G28" s="3">
        <v>0</v>
      </c>
      <c r="H28" s="3">
        <v>140</v>
      </c>
      <c r="I28" s="3">
        <v>0</v>
      </c>
      <c r="J28" s="3">
        <v>1.2</v>
      </c>
      <c r="K28" s="3">
        <v>2</v>
      </c>
      <c r="L28" s="3">
        <v>0</v>
      </c>
      <c r="M28" s="3">
        <v>7</v>
      </c>
      <c r="N28" s="3">
        <v>1</v>
      </c>
      <c r="O28" s="7">
        <f t="shared" si="1"/>
        <v>0.43741414199999795</v>
      </c>
      <c r="P28" s="7">
        <f t="shared" si="2"/>
        <v>0.60764270035451606</v>
      </c>
      <c r="Q28" s="7">
        <f t="shared" si="3"/>
        <v>1</v>
      </c>
      <c r="R28" s="3">
        <f t="shared" si="4"/>
        <v>0</v>
      </c>
      <c r="S28" s="3">
        <f t="shared" si="5"/>
        <v>0.60764270035451606</v>
      </c>
      <c r="T28" s="3">
        <f t="shared" si="6"/>
        <v>0.4981682336486723</v>
      </c>
    </row>
    <row r="29" spans="1:20" x14ac:dyDescent="0.25">
      <c r="A29" s="3">
        <v>52</v>
      </c>
      <c r="B29" s="3">
        <v>1</v>
      </c>
      <c r="C29" s="3">
        <v>1</v>
      </c>
      <c r="D29" s="3">
        <v>118</v>
      </c>
      <c r="E29" s="3">
        <v>186</v>
      </c>
      <c r="F29" s="3">
        <v>0</v>
      </c>
      <c r="G29" s="3">
        <v>2</v>
      </c>
      <c r="H29" s="3">
        <v>190</v>
      </c>
      <c r="I29" s="3">
        <v>0</v>
      </c>
      <c r="J29" s="3">
        <v>0</v>
      </c>
      <c r="K29" s="3">
        <v>2</v>
      </c>
      <c r="L29" s="3">
        <v>0</v>
      </c>
      <c r="M29" s="3">
        <v>6</v>
      </c>
      <c r="N29" s="3">
        <v>0</v>
      </c>
      <c r="O29" s="7">
        <f t="shared" si="1"/>
        <v>-3.4391705940000019</v>
      </c>
      <c r="P29" s="7">
        <f t="shared" si="2"/>
        <v>3.1093461675300086E-2</v>
      </c>
      <c r="Q29" s="7">
        <f t="shared" si="3"/>
        <v>0</v>
      </c>
      <c r="R29" s="3">
        <f t="shared" si="4"/>
        <v>0</v>
      </c>
      <c r="S29" s="3">
        <f t="shared" si="5"/>
        <v>0.96890653832469986</v>
      </c>
      <c r="T29" s="3">
        <f t="shared" si="6"/>
        <v>3.158712342042929E-2</v>
      </c>
    </row>
    <row r="30" spans="1:20" x14ac:dyDescent="0.25">
      <c r="A30" s="3">
        <v>62</v>
      </c>
      <c r="B30" s="3">
        <v>0</v>
      </c>
      <c r="C30" s="3">
        <v>3</v>
      </c>
      <c r="D30" s="3">
        <v>130</v>
      </c>
      <c r="E30" s="3">
        <v>263</v>
      </c>
      <c r="F30" s="3">
        <v>0</v>
      </c>
      <c r="G30" s="3">
        <v>0</v>
      </c>
      <c r="H30" s="3">
        <v>97</v>
      </c>
      <c r="I30" s="3">
        <v>0</v>
      </c>
      <c r="J30" s="3">
        <v>1.2</v>
      </c>
      <c r="K30" s="3">
        <v>2</v>
      </c>
      <c r="L30" s="3">
        <v>1</v>
      </c>
      <c r="M30" s="3">
        <v>7</v>
      </c>
      <c r="N30" s="3">
        <v>1</v>
      </c>
      <c r="O30" s="7">
        <f t="shared" si="1"/>
        <v>1.2250558999999992</v>
      </c>
      <c r="P30" s="7">
        <f t="shared" si="2"/>
        <v>0.77295206983809095</v>
      </c>
      <c r="Q30" s="7">
        <f t="shared" si="3"/>
        <v>1</v>
      </c>
      <c r="R30" s="3">
        <f t="shared" si="4"/>
        <v>0</v>
      </c>
      <c r="S30" s="3">
        <f t="shared" si="5"/>
        <v>0.77295206983809095</v>
      </c>
      <c r="T30" s="3">
        <f t="shared" si="6"/>
        <v>0.25753823770122808</v>
      </c>
    </row>
    <row r="31" spans="1:20" x14ac:dyDescent="0.25">
      <c r="A31" s="3">
        <v>48</v>
      </c>
      <c r="B31" s="3">
        <v>1</v>
      </c>
      <c r="C31" s="3">
        <v>4</v>
      </c>
      <c r="D31" s="3">
        <v>130</v>
      </c>
      <c r="E31" s="3">
        <v>256</v>
      </c>
      <c r="F31" s="3">
        <v>1</v>
      </c>
      <c r="G31" s="3">
        <v>2</v>
      </c>
      <c r="H31" s="3">
        <v>150</v>
      </c>
      <c r="I31" s="3">
        <v>1</v>
      </c>
      <c r="J31" s="3">
        <v>0</v>
      </c>
      <c r="K31" s="3">
        <v>1</v>
      </c>
      <c r="L31" s="3">
        <v>2</v>
      </c>
      <c r="M31" s="3">
        <v>7</v>
      </c>
      <c r="N31" s="3">
        <v>1</v>
      </c>
      <c r="O31" s="7">
        <f t="shared" si="1"/>
        <v>2.9793243800000013</v>
      </c>
      <c r="P31" s="7">
        <f t="shared" si="2"/>
        <v>0.95163128252969598</v>
      </c>
      <c r="Q31" s="7">
        <f t="shared" si="3"/>
        <v>1</v>
      </c>
      <c r="R31" s="3">
        <f t="shared" si="4"/>
        <v>0</v>
      </c>
      <c r="S31" s="3">
        <f t="shared" si="5"/>
        <v>0.95163128252969598</v>
      </c>
      <c r="T31" s="3">
        <f t="shared" si="6"/>
        <v>4.9577627481116743E-2</v>
      </c>
    </row>
    <row r="32" spans="1:20" x14ac:dyDescent="0.25">
      <c r="A32" s="3">
        <v>65</v>
      </c>
      <c r="B32" s="3">
        <v>1</v>
      </c>
      <c r="C32" s="3">
        <v>1</v>
      </c>
      <c r="D32" s="3">
        <v>138</v>
      </c>
      <c r="E32" s="3">
        <v>282</v>
      </c>
      <c r="F32" s="3">
        <v>1</v>
      </c>
      <c r="G32" s="3">
        <v>2</v>
      </c>
      <c r="H32" s="3">
        <v>174</v>
      </c>
      <c r="I32" s="3">
        <v>0</v>
      </c>
      <c r="J32" s="3">
        <v>1.4</v>
      </c>
      <c r="K32" s="3">
        <v>2</v>
      </c>
      <c r="L32" s="3">
        <v>1</v>
      </c>
      <c r="M32" s="3">
        <v>3</v>
      </c>
      <c r="N32" s="3">
        <v>1</v>
      </c>
      <c r="O32" s="7">
        <f t="shared" si="1"/>
        <v>-2.0781812470000016</v>
      </c>
      <c r="P32" s="7">
        <f t="shared" si="2"/>
        <v>0.11123564567946295</v>
      </c>
      <c r="Q32" s="7">
        <f t="shared" si="3"/>
        <v>0</v>
      </c>
      <c r="R32" s="3">
        <f t="shared" si="4"/>
        <v>1</v>
      </c>
      <c r="S32" s="3">
        <f t="shared" si="5"/>
        <v>0.11123564567946295</v>
      </c>
      <c r="T32" s="3">
        <f t="shared" si="6"/>
        <v>2.1961043938608973</v>
      </c>
    </row>
    <row r="33" spans="1:20" x14ac:dyDescent="0.25">
      <c r="A33" s="3">
        <v>45</v>
      </c>
      <c r="B33" s="3">
        <v>0</v>
      </c>
      <c r="C33" s="3">
        <v>2</v>
      </c>
      <c r="D33" s="3">
        <v>130</v>
      </c>
      <c r="E33" s="3">
        <v>234</v>
      </c>
      <c r="F33" s="3">
        <v>0</v>
      </c>
      <c r="G33" s="3">
        <v>2</v>
      </c>
      <c r="H33" s="3">
        <v>175</v>
      </c>
      <c r="I33" s="3">
        <v>0</v>
      </c>
      <c r="J33" s="3">
        <v>0.6</v>
      </c>
      <c r="K33" s="3">
        <v>2</v>
      </c>
      <c r="L33" s="3">
        <v>0</v>
      </c>
      <c r="M33" s="3">
        <v>3</v>
      </c>
      <c r="N33" s="3">
        <v>0</v>
      </c>
      <c r="O33" s="7">
        <f t="shared" si="1"/>
        <v>-3.4063848050000018</v>
      </c>
      <c r="P33" s="7">
        <f t="shared" si="2"/>
        <v>3.2096518555950818E-2</v>
      </c>
      <c r="Q33" s="7">
        <f t="shared" si="3"/>
        <v>0</v>
      </c>
      <c r="R33" s="3">
        <f t="shared" si="4"/>
        <v>0</v>
      </c>
      <c r="S33" s="3">
        <f t="shared" si="5"/>
        <v>0.96790348144404914</v>
      </c>
      <c r="T33" s="3">
        <f t="shared" si="6"/>
        <v>3.2622905928873312E-2</v>
      </c>
    </row>
    <row r="34" spans="1:20" x14ac:dyDescent="0.25">
      <c r="A34" s="3">
        <v>29</v>
      </c>
      <c r="B34" s="3">
        <v>1</v>
      </c>
      <c r="C34" s="3">
        <v>2</v>
      </c>
      <c r="D34" s="3">
        <v>130</v>
      </c>
      <c r="E34" s="3">
        <v>204</v>
      </c>
      <c r="F34" s="3">
        <v>0</v>
      </c>
      <c r="G34" s="3">
        <v>2</v>
      </c>
      <c r="H34" s="3">
        <v>202</v>
      </c>
      <c r="I34" s="3">
        <v>0</v>
      </c>
      <c r="J34" s="3">
        <v>0</v>
      </c>
      <c r="K34" s="3">
        <v>1</v>
      </c>
      <c r="L34" s="3">
        <v>0</v>
      </c>
      <c r="M34" s="3">
        <v>3</v>
      </c>
      <c r="N34" s="3">
        <v>0</v>
      </c>
      <c r="O34" s="7">
        <f t="shared" si="1"/>
        <v>-3.9523593760000004</v>
      </c>
      <c r="P34" s="7">
        <f t="shared" si="2"/>
        <v>1.8847282643043833E-2</v>
      </c>
      <c r="Q34" s="7">
        <f t="shared" si="3"/>
        <v>0</v>
      </c>
      <c r="R34" s="3">
        <f t="shared" si="4"/>
        <v>0</v>
      </c>
      <c r="S34" s="3">
        <f t="shared" si="5"/>
        <v>0.98115271735695619</v>
      </c>
      <c r="T34" s="3">
        <f t="shared" si="6"/>
        <v>1.90271563474179E-2</v>
      </c>
    </row>
    <row r="35" spans="1:20" x14ac:dyDescent="0.25">
      <c r="A35" s="3">
        <v>51</v>
      </c>
      <c r="B35" s="3">
        <v>1</v>
      </c>
      <c r="C35" s="3">
        <v>4</v>
      </c>
      <c r="D35" s="3">
        <v>140</v>
      </c>
      <c r="E35" s="3">
        <v>261</v>
      </c>
      <c r="F35" s="3">
        <v>0</v>
      </c>
      <c r="G35" s="3">
        <v>2</v>
      </c>
      <c r="H35" s="3">
        <v>186</v>
      </c>
      <c r="I35" s="3">
        <v>1</v>
      </c>
      <c r="J35" s="3">
        <v>0</v>
      </c>
      <c r="K35" s="3">
        <v>1</v>
      </c>
      <c r="L35" s="3">
        <v>0</v>
      </c>
      <c r="M35" s="3">
        <v>3</v>
      </c>
      <c r="N35" s="3">
        <v>0</v>
      </c>
      <c r="O35" s="7">
        <f t="shared" si="1"/>
        <v>-1.0134431470000003</v>
      </c>
      <c r="P35" s="7">
        <f t="shared" si="2"/>
        <v>0.26630656220941562</v>
      </c>
      <c r="Q35" s="7">
        <f t="shared" si="3"/>
        <v>0</v>
      </c>
      <c r="R35" s="3">
        <f t="shared" si="4"/>
        <v>0</v>
      </c>
      <c r="S35" s="3">
        <f t="shared" si="5"/>
        <v>0.73369343779058438</v>
      </c>
      <c r="T35" s="3">
        <f t="shared" si="6"/>
        <v>0.30966399729757349</v>
      </c>
    </row>
    <row r="36" spans="1:20" x14ac:dyDescent="0.25">
      <c r="A36" s="3">
        <v>55</v>
      </c>
      <c r="B36" s="3">
        <v>0</v>
      </c>
      <c r="C36" s="3">
        <v>2</v>
      </c>
      <c r="D36" s="3">
        <v>135</v>
      </c>
      <c r="E36" s="3">
        <v>250</v>
      </c>
      <c r="F36" s="3">
        <v>0</v>
      </c>
      <c r="G36" s="3">
        <v>2</v>
      </c>
      <c r="H36" s="3">
        <v>161</v>
      </c>
      <c r="I36" s="3">
        <v>0</v>
      </c>
      <c r="J36" s="3">
        <v>1.4</v>
      </c>
      <c r="K36" s="3">
        <v>2</v>
      </c>
      <c r="L36" s="3">
        <v>0</v>
      </c>
      <c r="M36" s="3">
        <v>3</v>
      </c>
      <c r="N36" s="3">
        <v>0</v>
      </c>
      <c r="O36" s="7">
        <f t="shared" si="1"/>
        <v>-2.8477382930000008</v>
      </c>
      <c r="P36" s="7">
        <f t="shared" si="2"/>
        <v>5.4798345543614707E-2</v>
      </c>
      <c r="Q36" s="7">
        <f t="shared" si="3"/>
        <v>0</v>
      </c>
      <c r="R36" s="3">
        <f t="shared" si="4"/>
        <v>0</v>
      </c>
      <c r="S36" s="3">
        <f t="shared" si="5"/>
        <v>0.94520165445638527</v>
      </c>
      <c r="T36" s="3">
        <f t="shared" si="6"/>
        <v>5.635698329386872E-2</v>
      </c>
    </row>
    <row r="37" spans="1:20" x14ac:dyDescent="0.25">
      <c r="A37" s="3">
        <v>70</v>
      </c>
      <c r="B37" s="3">
        <v>1</v>
      </c>
      <c r="C37" s="3">
        <v>4</v>
      </c>
      <c r="D37" s="3">
        <v>145</v>
      </c>
      <c r="E37" s="3">
        <v>174</v>
      </c>
      <c r="F37" s="3">
        <v>0</v>
      </c>
      <c r="G37" s="3">
        <v>0</v>
      </c>
      <c r="H37" s="3">
        <v>125</v>
      </c>
      <c r="I37" s="3">
        <v>1</v>
      </c>
      <c r="J37" s="3">
        <v>2.6</v>
      </c>
      <c r="K37" s="3">
        <v>3</v>
      </c>
      <c r="L37" s="3">
        <v>0</v>
      </c>
      <c r="M37" s="3">
        <v>7</v>
      </c>
      <c r="N37" s="3">
        <v>1</v>
      </c>
      <c r="O37" s="7">
        <f t="shared" si="1"/>
        <v>3.0381995659999994</v>
      </c>
      <c r="P37" s="7">
        <f t="shared" si="2"/>
        <v>0.95427032525591249</v>
      </c>
      <c r="Q37" s="7">
        <f t="shared" si="3"/>
        <v>1</v>
      </c>
      <c r="R37" s="3">
        <f t="shared" si="4"/>
        <v>0</v>
      </c>
      <c r="S37" s="3">
        <f t="shared" si="5"/>
        <v>0.95427032525591249</v>
      </c>
      <c r="T37" s="3">
        <f t="shared" si="6"/>
        <v>4.6808287865622189E-2</v>
      </c>
    </row>
    <row r="38" spans="1:20" x14ac:dyDescent="0.25">
      <c r="A38" s="3">
        <v>51</v>
      </c>
      <c r="B38" s="3">
        <v>1</v>
      </c>
      <c r="C38" s="3">
        <v>3</v>
      </c>
      <c r="D38" s="3">
        <v>125</v>
      </c>
      <c r="E38" s="3">
        <v>245</v>
      </c>
      <c r="F38" s="3">
        <v>1</v>
      </c>
      <c r="G38" s="3">
        <v>2</v>
      </c>
      <c r="H38" s="3">
        <v>166</v>
      </c>
      <c r="I38" s="3">
        <v>0</v>
      </c>
      <c r="J38" s="3">
        <v>2.4</v>
      </c>
      <c r="K38" s="3">
        <v>2</v>
      </c>
      <c r="L38" s="3">
        <v>0</v>
      </c>
      <c r="M38" s="3">
        <v>3</v>
      </c>
      <c r="N38" s="3">
        <v>0</v>
      </c>
      <c r="O38" s="7">
        <f t="shared" si="1"/>
        <v>-1.7572272940000024</v>
      </c>
      <c r="P38" s="7">
        <f t="shared" si="2"/>
        <v>0.14713794184148973</v>
      </c>
      <c r="Q38" s="7">
        <f t="shared" si="3"/>
        <v>0</v>
      </c>
      <c r="R38" s="3">
        <f t="shared" si="4"/>
        <v>0</v>
      </c>
      <c r="S38" s="3">
        <f t="shared" si="5"/>
        <v>0.85286205815851024</v>
      </c>
      <c r="T38" s="3">
        <f t="shared" si="6"/>
        <v>0.15915745833247391</v>
      </c>
    </row>
    <row r="39" spans="1:20" x14ac:dyDescent="0.25">
      <c r="A39" s="3">
        <v>59</v>
      </c>
      <c r="B39" s="3">
        <v>1</v>
      </c>
      <c r="C39" s="3">
        <v>2</v>
      </c>
      <c r="D39" s="3">
        <v>140</v>
      </c>
      <c r="E39" s="3">
        <v>221</v>
      </c>
      <c r="F39" s="3">
        <v>0</v>
      </c>
      <c r="G39" s="3">
        <v>0</v>
      </c>
      <c r="H39" s="3">
        <v>164</v>
      </c>
      <c r="I39" s="3">
        <v>1</v>
      </c>
      <c r="J39" s="3">
        <v>0</v>
      </c>
      <c r="K39" s="3">
        <v>1</v>
      </c>
      <c r="L39" s="3">
        <v>0</v>
      </c>
      <c r="M39" s="3">
        <v>3</v>
      </c>
      <c r="N39" s="3">
        <v>0</v>
      </c>
      <c r="O39" s="7">
        <f t="shared" si="1"/>
        <v>-2.8839460870000009</v>
      </c>
      <c r="P39" s="7">
        <f t="shared" si="2"/>
        <v>5.2952895073392958E-2</v>
      </c>
      <c r="Q39" s="7">
        <f t="shared" si="3"/>
        <v>0</v>
      </c>
      <c r="R39" s="3">
        <f t="shared" si="4"/>
        <v>0</v>
      </c>
      <c r="S39" s="3">
        <f t="shared" si="5"/>
        <v>0.94704710492660704</v>
      </c>
      <c r="T39" s="3">
        <f t="shared" si="6"/>
        <v>5.4406445822333518E-2</v>
      </c>
    </row>
    <row r="40" spans="1:20" x14ac:dyDescent="0.25">
      <c r="A40" s="3">
        <v>59</v>
      </c>
      <c r="B40" s="3">
        <v>1</v>
      </c>
      <c r="C40" s="3">
        <v>1</v>
      </c>
      <c r="D40" s="3">
        <v>170</v>
      </c>
      <c r="E40" s="3">
        <v>288</v>
      </c>
      <c r="F40" s="3">
        <v>0</v>
      </c>
      <c r="G40" s="3">
        <v>2</v>
      </c>
      <c r="H40" s="3">
        <v>159</v>
      </c>
      <c r="I40" s="3">
        <v>0</v>
      </c>
      <c r="J40" s="3">
        <v>0.2</v>
      </c>
      <c r="K40" s="3">
        <v>2</v>
      </c>
      <c r="L40" s="3">
        <v>0</v>
      </c>
      <c r="M40" s="3">
        <v>7</v>
      </c>
      <c r="N40" s="3">
        <v>1</v>
      </c>
      <c r="O40" s="7">
        <f t="shared" si="1"/>
        <v>-0.65769206100000055</v>
      </c>
      <c r="P40" s="7">
        <f t="shared" si="2"/>
        <v>0.34125824843243285</v>
      </c>
      <c r="Q40" s="7">
        <f t="shared" si="3"/>
        <v>0</v>
      </c>
      <c r="R40" s="3">
        <f t="shared" si="4"/>
        <v>1</v>
      </c>
      <c r="S40" s="3">
        <f t="shared" si="5"/>
        <v>0.34125824843243285</v>
      </c>
      <c r="T40" s="3">
        <f t="shared" si="6"/>
        <v>1.0751157615445146</v>
      </c>
    </row>
    <row r="41" spans="1:20" x14ac:dyDescent="0.25">
      <c r="A41" s="3">
        <v>52</v>
      </c>
      <c r="B41" s="3">
        <v>1</v>
      </c>
      <c r="C41" s="3">
        <v>2</v>
      </c>
      <c r="D41" s="3">
        <v>128</v>
      </c>
      <c r="E41" s="3">
        <v>205</v>
      </c>
      <c r="F41" s="3">
        <v>1</v>
      </c>
      <c r="G41" s="3">
        <v>0</v>
      </c>
      <c r="H41" s="3">
        <v>184</v>
      </c>
      <c r="I41" s="3">
        <v>0</v>
      </c>
      <c r="J41" s="3">
        <v>0</v>
      </c>
      <c r="K41" s="3">
        <v>1</v>
      </c>
      <c r="L41" s="3">
        <v>0</v>
      </c>
      <c r="M41" s="3">
        <v>3</v>
      </c>
      <c r="N41" s="3">
        <v>0</v>
      </c>
      <c r="O41" s="7">
        <f t="shared" si="1"/>
        <v>-4.8676946370000014</v>
      </c>
      <c r="P41" s="7">
        <f t="shared" si="2"/>
        <v>7.6323744182482988E-3</v>
      </c>
      <c r="Q41" s="7">
        <f t="shared" si="3"/>
        <v>0</v>
      </c>
      <c r="R41" s="3">
        <f t="shared" si="4"/>
        <v>0</v>
      </c>
      <c r="S41" s="3">
        <f t="shared" si="5"/>
        <v>0.99236762558175173</v>
      </c>
      <c r="T41" s="3">
        <f t="shared" si="6"/>
        <v>7.6616500447052611E-3</v>
      </c>
    </row>
    <row r="42" spans="1:20" x14ac:dyDescent="0.25">
      <c r="A42" s="3">
        <v>41</v>
      </c>
      <c r="B42" s="3">
        <v>1</v>
      </c>
      <c r="C42" s="3">
        <v>3</v>
      </c>
      <c r="D42" s="3">
        <v>112</v>
      </c>
      <c r="E42" s="3">
        <v>250</v>
      </c>
      <c r="F42" s="3">
        <v>0</v>
      </c>
      <c r="G42" s="3">
        <v>0</v>
      </c>
      <c r="H42" s="3">
        <v>179</v>
      </c>
      <c r="I42" s="3">
        <v>0</v>
      </c>
      <c r="J42" s="3">
        <v>0</v>
      </c>
      <c r="K42" s="3">
        <v>1</v>
      </c>
      <c r="L42" s="3">
        <v>0</v>
      </c>
      <c r="M42" s="3">
        <v>3</v>
      </c>
      <c r="N42" s="3">
        <v>0</v>
      </c>
      <c r="O42" s="7">
        <f t="shared" si="1"/>
        <v>-3.6908545269999999</v>
      </c>
      <c r="P42" s="7">
        <f t="shared" si="2"/>
        <v>2.4343290453916436E-2</v>
      </c>
      <c r="Q42" s="7">
        <f t="shared" si="3"/>
        <v>0</v>
      </c>
      <c r="R42" s="3">
        <f t="shared" si="4"/>
        <v>0</v>
      </c>
      <c r="S42" s="3">
        <f t="shared" si="5"/>
        <v>0.97565670954608352</v>
      </c>
      <c r="T42" s="3">
        <f t="shared" si="6"/>
        <v>2.4644486463716503E-2</v>
      </c>
    </row>
    <row r="43" spans="1:20" x14ac:dyDescent="0.25">
      <c r="A43" s="3">
        <v>52</v>
      </c>
      <c r="B43" s="3">
        <v>1</v>
      </c>
      <c r="C43" s="3">
        <v>1</v>
      </c>
      <c r="D43" s="3">
        <v>152</v>
      </c>
      <c r="E43" s="3">
        <v>298</v>
      </c>
      <c r="F43" s="3">
        <v>1</v>
      </c>
      <c r="G43" s="3">
        <v>0</v>
      </c>
      <c r="H43" s="3">
        <v>178</v>
      </c>
      <c r="I43" s="3">
        <v>0</v>
      </c>
      <c r="J43" s="3">
        <v>1.2</v>
      </c>
      <c r="K43" s="3">
        <v>2</v>
      </c>
      <c r="L43" s="3">
        <v>0</v>
      </c>
      <c r="M43" s="3">
        <v>7</v>
      </c>
      <c r="N43" s="3">
        <v>0</v>
      </c>
      <c r="O43" s="7">
        <f t="shared" si="1"/>
        <v>-2.261454394000002</v>
      </c>
      <c r="P43" s="7">
        <f t="shared" si="2"/>
        <v>9.4366001549446854E-2</v>
      </c>
      <c r="Q43" s="7">
        <f t="shared" si="3"/>
        <v>0</v>
      </c>
      <c r="R43" s="3">
        <f t="shared" si="4"/>
        <v>0</v>
      </c>
      <c r="S43" s="3">
        <f t="shared" si="5"/>
        <v>0.90563399845055315</v>
      </c>
      <c r="T43" s="3">
        <f t="shared" si="6"/>
        <v>9.9120029779269356E-2</v>
      </c>
    </row>
    <row r="44" spans="1:20" x14ac:dyDescent="0.25">
      <c r="A44" s="3">
        <v>64</v>
      </c>
      <c r="B44" s="3">
        <v>1</v>
      </c>
      <c r="C44" s="3">
        <v>4</v>
      </c>
      <c r="D44" s="3">
        <v>120</v>
      </c>
      <c r="E44" s="3">
        <v>246</v>
      </c>
      <c r="F44" s="3">
        <v>0</v>
      </c>
      <c r="G44" s="3">
        <v>2</v>
      </c>
      <c r="H44" s="3">
        <v>96</v>
      </c>
      <c r="I44" s="3">
        <v>1</v>
      </c>
      <c r="J44" s="3">
        <v>2.2000000000000002</v>
      </c>
      <c r="K44" s="3">
        <v>3</v>
      </c>
      <c r="L44" s="3">
        <v>1</v>
      </c>
      <c r="M44" s="3">
        <v>3</v>
      </c>
      <c r="N44" s="3">
        <v>1</v>
      </c>
      <c r="O44" s="7">
        <f t="shared" si="1"/>
        <v>3.6994443550000007</v>
      </c>
      <c r="P44" s="7">
        <f t="shared" si="2"/>
        <v>0.97585989251194794</v>
      </c>
      <c r="Q44" s="7">
        <f t="shared" si="3"/>
        <v>1</v>
      </c>
      <c r="R44" s="3">
        <f t="shared" si="4"/>
        <v>0</v>
      </c>
      <c r="S44" s="3">
        <f t="shared" si="5"/>
        <v>0.97585989251194794</v>
      </c>
      <c r="T44" s="3">
        <f t="shared" si="6"/>
        <v>2.4436255627879072E-2</v>
      </c>
    </row>
    <row r="45" spans="1:20" x14ac:dyDescent="0.25">
      <c r="A45" s="3">
        <v>51</v>
      </c>
      <c r="B45" s="3">
        <v>1</v>
      </c>
      <c r="C45" s="3">
        <v>4</v>
      </c>
      <c r="D45" s="3">
        <v>140</v>
      </c>
      <c r="E45" s="3">
        <v>299</v>
      </c>
      <c r="F45" s="3">
        <v>0</v>
      </c>
      <c r="G45" s="3">
        <v>0</v>
      </c>
      <c r="H45" s="3">
        <v>173</v>
      </c>
      <c r="I45" s="3">
        <v>1</v>
      </c>
      <c r="J45" s="3">
        <v>1.6</v>
      </c>
      <c r="K45" s="3">
        <v>1</v>
      </c>
      <c r="L45" s="3">
        <v>0</v>
      </c>
      <c r="M45" s="3">
        <v>7</v>
      </c>
      <c r="N45" s="3">
        <v>1</v>
      </c>
      <c r="O45" s="7">
        <f t="shared" si="1"/>
        <v>0.45131332700000115</v>
      </c>
      <c r="P45" s="7">
        <f t="shared" si="2"/>
        <v>0.61095144380008337</v>
      </c>
      <c r="Q45" s="7">
        <f t="shared" si="3"/>
        <v>1</v>
      </c>
      <c r="R45" s="3">
        <f t="shared" si="4"/>
        <v>0</v>
      </c>
      <c r="S45" s="3">
        <f t="shared" si="5"/>
        <v>0.61095144380008337</v>
      </c>
      <c r="T45" s="3">
        <f t="shared" si="6"/>
        <v>0.49273779301741677</v>
      </c>
    </row>
    <row r="46" spans="1:20" x14ac:dyDescent="0.25">
      <c r="A46" s="3">
        <v>54</v>
      </c>
      <c r="B46" s="3">
        <v>0</v>
      </c>
      <c r="C46" s="3">
        <v>3</v>
      </c>
      <c r="D46" s="3">
        <v>110</v>
      </c>
      <c r="E46" s="3">
        <v>214</v>
      </c>
      <c r="F46" s="3">
        <v>0</v>
      </c>
      <c r="G46" s="3">
        <v>0</v>
      </c>
      <c r="H46" s="3">
        <v>158</v>
      </c>
      <c r="I46" s="3">
        <v>0</v>
      </c>
      <c r="J46" s="3">
        <v>1.6</v>
      </c>
      <c r="K46" s="3">
        <v>2</v>
      </c>
      <c r="L46" s="3">
        <v>0</v>
      </c>
      <c r="M46" s="3">
        <v>3</v>
      </c>
      <c r="N46" s="3">
        <v>0</v>
      </c>
      <c r="O46" s="7">
        <f t="shared" si="1"/>
        <v>-3.2343854880000009</v>
      </c>
      <c r="P46" s="7">
        <f t="shared" si="2"/>
        <v>3.7892044274737913E-2</v>
      </c>
      <c r="Q46" s="7">
        <f t="shared" si="3"/>
        <v>0</v>
      </c>
      <c r="R46" s="3">
        <f t="shared" si="4"/>
        <v>0</v>
      </c>
      <c r="S46" s="3">
        <f t="shared" si="5"/>
        <v>0.96210795572526209</v>
      </c>
      <c r="T46" s="3">
        <f t="shared" si="6"/>
        <v>3.8628614524003645E-2</v>
      </c>
    </row>
    <row r="47" spans="1:20" x14ac:dyDescent="0.25">
      <c r="A47" s="3">
        <v>48</v>
      </c>
      <c r="B47" s="3">
        <v>1</v>
      </c>
      <c r="C47" s="3">
        <v>3</v>
      </c>
      <c r="D47" s="3">
        <v>124</v>
      </c>
      <c r="E47" s="3">
        <v>255</v>
      </c>
      <c r="F47" s="3">
        <v>1</v>
      </c>
      <c r="G47" s="3">
        <v>0</v>
      </c>
      <c r="H47" s="3">
        <v>175</v>
      </c>
      <c r="I47" s="3">
        <v>0</v>
      </c>
      <c r="J47" s="3">
        <v>0</v>
      </c>
      <c r="K47" s="3">
        <v>1</v>
      </c>
      <c r="L47" s="3">
        <v>2</v>
      </c>
      <c r="M47" s="3">
        <v>3</v>
      </c>
      <c r="N47" s="3">
        <v>0</v>
      </c>
      <c r="O47" s="7">
        <f t="shared" si="1"/>
        <v>-0.99028368000000189</v>
      </c>
      <c r="P47" s="7">
        <f t="shared" si="2"/>
        <v>0.27085604918065098</v>
      </c>
      <c r="Q47" s="7">
        <f t="shared" si="3"/>
        <v>0</v>
      </c>
      <c r="R47" s="3">
        <f t="shared" si="4"/>
        <v>0</v>
      </c>
      <c r="S47" s="3">
        <f t="shared" si="5"/>
        <v>0.72914395081934902</v>
      </c>
      <c r="T47" s="3">
        <f t="shared" si="6"/>
        <v>0.31588410306578274</v>
      </c>
    </row>
    <row r="48" spans="1:20" x14ac:dyDescent="0.25">
      <c r="A48" s="3">
        <v>57</v>
      </c>
      <c r="B48" s="3">
        <v>1</v>
      </c>
      <c r="C48" s="3">
        <v>4</v>
      </c>
      <c r="D48" s="3">
        <v>132</v>
      </c>
      <c r="E48" s="3">
        <v>207</v>
      </c>
      <c r="F48" s="3">
        <v>0</v>
      </c>
      <c r="G48" s="3">
        <v>0</v>
      </c>
      <c r="H48" s="3">
        <v>168</v>
      </c>
      <c r="I48" s="3">
        <v>1</v>
      </c>
      <c r="J48" s="3">
        <v>0</v>
      </c>
      <c r="K48" s="3">
        <v>1</v>
      </c>
      <c r="L48" s="3">
        <v>0</v>
      </c>
      <c r="M48" s="3">
        <v>7</v>
      </c>
      <c r="N48" s="3">
        <v>0</v>
      </c>
      <c r="O48" s="7">
        <f t="shared" si="1"/>
        <v>-0.34803845700000124</v>
      </c>
      <c r="P48" s="7">
        <f t="shared" si="2"/>
        <v>0.41385817082968623</v>
      </c>
      <c r="Q48" s="7">
        <f t="shared" si="3"/>
        <v>0</v>
      </c>
      <c r="R48" s="3">
        <f t="shared" si="4"/>
        <v>0</v>
      </c>
      <c r="S48" s="3">
        <f t="shared" si="5"/>
        <v>0.58614182917031377</v>
      </c>
      <c r="T48" s="3">
        <f t="shared" si="6"/>
        <v>0.53419348938861388</v>
      </c>
    </row>
    <row r="49" spans="1:20" x14ac:dyDescent="0.25">
      <c r="A49" s="3">
        <v>70</v>
      </c>
      <c r="B49" s="3">
        <v>1</v>
      </c>
      <c r="C49" s="3">
        <v>3</v>
      </c>
      <c r="D49" s="3">
        <v>160</v>
      </c>
      <c r="E49" s="3">
        <v>269</v>
      </c>
      <c r="F49" s="3">
        <v>0</v>
      </c>
      <c r="G49" s="3">
        <v>0</v>
      </c>
      <c r="H49" s="3">
        <v>112</v>
      </c>
      <c r="I49" s="3">
        <v>1</v>
      </c>
      <c r="J49" s="3">
        <v>2.9</v>
      </c>
      <c r="K49" s="3">
        <v>2</v>
      </c>
      <c r="L49" s="3">
        <v>1</v>
      </c>
      <c r="M49" s="3">
        <v>7</v>
      </c>
      <c r="N49" s="3">
        <v>1</v>
      </c>
      <c r="O49" s="7">
        <f t="shared" si="1"/>
        <v>3.7916116945000002</v>
      </c>
      <c r="P49" s="7">
        <f t="shared" si="2"/>
        <v>0.97793847665100009</v>
      </c>
      <c r="Q49" s="7">
        <f t="shared" si="3"/>
        <v>1</v>
      </c>
      <c r="R49" s="3">
        <f t="shared" si="4"/>
        <v>0</v>
      </c>
      <c r="S49" s="3">
        <f t="shared" si="5"/>
        <v>0.97793847665100009</v>
      </c>
      <c r="T49" s="3">
        <f t="shared" si="6"/>
        <v>2.2308518235883378E-2</v>
      </c>
    </row>
    <row r="50" spans="1:20" x14ac:dyDescent="0.25">
      <c r="A50" s="3">
        <v>53</v>
      </c>
      <c r="B50" s="3">
        <v>1</v>
      </c>
      <c r="C50" s="3">
        <v>4</v>
      </c>
      <c r="D50" s="3">
        <v>142</v>
      </c>
      <c r="E50" s="3">
        <v>226</v>
      </c>
      <c r="F50" s="3">
        <v>0</v>
      </c>
      <c r="G50" s="3">
        <v>2</v>
      </c>
      <c r="H50" s="3">
        <v>111</v>
      </c>
      <c r="I50" s="3">
        <v>1</v>
      </c>
      <c r="J50" s="3">
        <v>0</v>
      </c>
      <c r="K50" s="3">
        <v>1</v>
      </c>
      <c r="L50" s="3">
        <v>0</v>
      </c>
      <c r="M50" s="3">
        <v>7</v>
      </c>
      <c r="N50" s="3">
        <v>0</v>
      </c>
      <c r="O50" s="7">
        <f t="shared" si="1"/>
        <v>1.7299186739999985</v>
      </c>
      <c r="P50" s="7">
        <f t="shared" si="2"/>
        <v>0.84940201747177346</v>
      </c>
      <c r="Q50" s="7">
        <f t="shared" si="3"/>
        <v>1</v>
      </c>
      <c r="R50" s="3">
        <f t="shared" si="4"/>
        <v>1</v>
      </c>
      <c r="S50" s="3">
        <f t="shared" si="5"/>
        <v>0.15059798252822654</v>
      </c>
      <c r="T50" s="3">
        <f t="shared" si="6"/>
        <v>1.8931413599329896</v>
      </c>
    </row>
    <row r="51" spans="1:20" x14ac:dyDescent="0.25">
      <c r="A51" s="3">
        <v>59</v>
      </c>
      <c r="B51" s="3">
        <v>1</v>
      </c>
      <c r="C51" s="3">
        <v>1</v>
      </c>
      <c r="D51" s="3">
        <v>178</v>
      </c>
      <c r="E51" s="3">
        <v>270</v>
      </c>
      <c r="F51" s="3">
        <v>0</v>
      </c>
      <c r="G51" s="3">
        <v>2</v>
      </c>
      <c r="H51" s="3">
        <v>145</v>
      </c>
      <c r="I51" s="3">
        <v>0</v>
      </c>
      <c r="J51" s="3">
        <v>4.2</v>
      </c>
      <c r="K51" s="3">
        <v>3</v>
      </c>
      <c r="L51" s="3">
        <v>0</v>
      </c>
      <c r="M51" s="3">
        <v>7</v>
      </c>
      <c r="N51" s="3">
        <v>0</v>
      </c>
      <c r="O51" s="7">
        <f t="shared" si="1"/>
        <v>1.6068932959999991</v>
      </c>
      <c r="P51" s="7">
        <f t="shared" si="2"/>
        <v>0.83297961454880476</v>
      </c>
      <c r="Q51" s="7">
        <f t="shared" si="3"/>
        <v>1</v>
      </c>
      <c r="R51" s="3">
        <f t="shared" si="4"/>
        <v>1</v>
      </c>
      <c r="S51" s="3">
        <f t="shared" si="5"/>
        <v>0.16702038545119524</v>
      </c>
      <c r="T51" s="3">
        <f t="shared" si="6"/>
        <v>1.7896394054451121</v>
      </c>
    </row>
    <row r="52" spans="1:20" x14ac:dyDescent="0.25">
      <c r="A52" s="3">
        <v>69</v>
      </c>
      <c r="B52" s="3">
        <v>1</v>
      </c>
      <c r="C52" s="3">
        <v>3</v>
      </c>
      <c r="D52" s="3">
        <v>140</v>
      </c>
      <c r="E52" s="3">
        <v>254</v>
      </c>
      <c r="F52" s="3">
        <v>0</v>
      </c>
      <c r="G52" s="3">
        <v>2</v>
      </c>
      <c r="H52" s="3">
        <v>146</v>
      </c>
      <c r="I52" s="3">
        <v>0</v>
      </c>
      <c r="J52" s="3">
        <v>2</v>
      </c>
      <c r="K52" s="3">
        <v>2</v>
      </c>
      <c r="L52" s="3">
        <v>3</v>
      </c>
      <c r="M52" s="3">
        <v>7</v>
      </c>
      <c r="N52" s="3">
        <v>1</v>
      </c>
      <c r="O52" s="7">
        <f t="shared" si="1"/>
        <v>4.784893842999999</v>
      </c>
      <c r="P52" s="7">
        <f t="shared" si="2"/>
        <v>0.99171421716008734</v>
      </c>
      <c r="Q52" s="7">
        <f t="shared" si="3"/>
        <v>1</v>
      </c>
      <c r="R52" s="3">
        <f t="shared" si="4"/>
        <v>0</v>
      </c>
      <c r="S52" s="3">
        <f t="shared" si="5"/>
        <v>0.99171421716008734</v>
      </c>
      <c r="T52" s="3">
        <f t="shared" si="6"/>
        <v>8.3203007426858235E-3</v>
      </c>
    </row>
    <row r="53" spans="1:20" x14ac:dyDescent="0.25">
      <c r="A53" s="3">
        <v>64</v>
      </c>
      <c r="B53" s="3">
        <v>0</v>
      </c>
      <c r="C53" s="3">
        <v>4</v>
      </c>
      <c r="D53" s="3">
        <v>180</v>
      </c>
      <c r="E53" s="3">
        <v>325</v>
      </c>
      <c r="F53" s="3">
        <v>0</v>
      </c>
      <c r="G53" s="3">
        <v>0</v>
      </c>
      <c r="H53" s="3">
        <v>154</v>
      </c>
      <c r="I53" s="3">
        <v>1</v>
      </c>
      <c r="J53" s="3">
        <v>0</v>
      </c>
      <c r="K53" s="3">
        <v>1</v>
      </c>
      <c r="L53" s="3">
        <v>0</v>
      </c>
      <c r="M53" s="3">
        <v>3</v>
      </c>
      <c r="N53" s="3">
        <v>0</v>
      </c>
      <c r="O53" s="7">
        <f t="shared" si="1"/>
        <v>-0.48028971100000106</v>
      </c>
      <c r="P53" s="7">
        <f t="shared" si="2"/>
        <v>0.38218371653097055</v>
      </c>
      <c r="Q53" s="7">
        <f t="shared" si="3"/>
        <v>0</v>
      </c>
      <c r="R53" s="3">
        <f t="shared" si="4"/>
        <v>0</v>
      </c>
      <c r="S53" s="3">
        <f t="shared" si="5"/>
        <v>0.6178162834690295</v>
      </c>
      <c r="T53" s="3">
        <f t="shared" si="6"/>
        <v>0.48156414165977929</v>
      </c>
    </row>
    <row r="54" spans="1:20" x14ac:dyDescent="0.25">
      <c r="A54" s="3">
        <v>55</v>
      </c>
      <c r="B54" s="3">
        <v>1</v>
      </c>
      <c r="C54" s="3">
        <v>2</v>
      </c>
      <c r="D54" s="3">
        <v>130</v>
      </c>
      <c r="E54" s="3">
        <v>262</v>
      </c>
      <c r="F54" s="3">
        <v>0</v>
      </c>
      <c r="G54" s="3">
        <v>0</v>
      </c>
      <c r="H54" s="3">
        <v>155</v>
      </c>
      <c r="I54" s="3">
        <v>0</v>
      </c>
      <c r="J54" s="3">
        <v>0</v>
      </c>
      <c r="K54" s="3">
        <v>1</v>
      </c>
      <c r="L54" s="3">
        <v>0</v>
      </c>
      <c r="M54" s="3">
        <v>3</v>
      </c>
      <c r="N54" s="3">
        <v>0</v>
      </c>
      <c r="O54" s="7">
        <f t="shared" si="1"/>
        <v>-3.5898478840000001</v>
      </c>
      <c r="P54" s="7">
        <f t="shared" si="2"/>
        <v>2.6861094746437927E-2</v>
      </c>
      <c r="Q54" s="7">
        <f t="shared" si="3"/>
        <v>0</v>
      </c>
      <c r="R54" s="3">
        <f t="shared" si="4"/>
        <v>0</v>
      </c>
      <c r="S54" s="3">
        <f t="shared" si="5"/>
        <v>0.97313890525356206</v>
      </c>
      <c r="T54" s="3">
        <f t="shared" si="6"/>
        <v>2.7228447218059258E-2</v>
      </c>
    </row>
    <row r="55" spans="1:20" x14ac:dyDescent="0.25">
      <c r="A55" s="3">
        <v>46</v>
      </c>
      <c r="B55" s="3">
        <v>0</v>
      </c>
      <c r="C55" s="3">
        <v>2</v>
      </c>
      <c r="D55" s="3">
        <v>105</v>
      </c>
      <c r="E55" s="3">
        <v>204</v>
      </c>
      <c r="F55" s="3">
        <v>0</v>
      </c>
      <c r="G55" s="3">
        <v>0</v>
      </c>
      <c r="H55" s="3">
        <v>172</v>
      </c>
      <c r="I55" s="3">
        <v>0</v>
      </c>
      <c r="J55" s="3">
        <v>0</v>
      </c>
      <c r="K55" s="3">
        <v>1</v>
      </c>
      <c r="L55" s="3">
        <v>0</v>
      </c>
      <c r="M55" s="3">
        <v>3</v>
      </c>
      <c r="N55" s="3">
        <v>0</v>
      </c>
      <c r="O55" s="7">
        <f t="shared" si="1"/>
        <v>-5.6735914380000008</v>
      </c>
      <c r="P55" s="7">
        <f t="shared" si="2"/>
        <v>3.4237424080507299E-3</v>
      </c>
      <c r="Q55" s="7">
        <f t="shared" si="3"/>
        <v>0</v>
      </c>
      <c r="R55" s="3">
        <f t="shared" si="4"/>
        <v>0</v>
      </c>
      <c r="S55" s="3">
        <f t="shared" si="5"/>
        <v>0.99657625759194923</v>
      </c>
      <c r="T55" s="3">
        <f t="shared" si="6"/>
        <v>3.4296168262514773E-3</v>
      </c>
    </row>
    <row r="56" spans="1:20" x14ac:dyDescent="0.25">
      <c r="A56" s="3">
        <v>47</v>
      </c>
      <c r="B56" s="3">
        <v>1</v>
      </c>
      <c r="C56" s="3">
        <v>4</v>
      </c>
      <c r="D56" s="3">
        <v>112</v>
      </c>
      <c r="E56" s="3">
        <v>204</v>
      </c>
      <c r="F56" s="3">
        <v>0</v>
      </c>
      <c r="G56" s="3">
        <v>0</v>
      </c>
      <c r="H56" s="3">
        <v>143</v>
      </c>
      <c r="I56" s="3">
        <v>0</v>
      </c>
      <c r="J56" s="3">
        <v>0.1</v>
      </c>
      <c r="K56" s="3">
        <v>1</v>
      </c>
      <c r="L56" s="3">
        <v>0</v>
      </c>
      <c r="M56" s="3">
        <v>3</v>
      </c>
      <c r="N56" s="3">
        <v>0</v>
      </c>
      <c r="O56" s="7">
        <f t="shared" si="1"/>
        <v>-2.2574420665000003</v>
      </c>
      <c r="P56" s="7">
        <f t="shared" si="2"/>
        <v>9.4709457834713212E-2</v>
      </c>
      <c r="Q56" s="7">
        <f t="shared" si="3"/>
        <v>0</v>
      </c>
      <c r="R56" s="3">
        <f t="shared" si="4"/>
        <v>0</v>
      </c>
      <c r="S56" s="3">
        <f t="shared" si="5"/>
        <v>0.90529054216528682</v>
      </c>
      <c r="T56" s="3">
        <f t="shared" si="6"/>
        <v>9.9499345738251921E-2</v>
      </c>
    </row>
    <row r="57" spans="1:20" x14ac:dyDescent="0.25">
      <c r="A57" s="3">
        <v>54</v>
      </c>
      <c r="B57" s="3">
        <v>1</v>
      </c>
      <c r="C57" s="3">
        <v>4</v>
      </c>
      <c r="D57" s="3">
        <v>110</v>
      </c>
      <c r="E57" s="3">
        <v>206</v>
      </c>
      <c r="F57" s="3">
        <v>0</v>
      </c>
      <c r="G57" s="3">
        <v>2</v>
      </c>
      <c r="H57" s="3">
        <v>108</v>
      </c>
      <c r="I57" s="3">
        <v>1</v>
      </c>
      <c r="J57" s="3">
        <v>0</v>
      </c>
      <c r="K57" s="3">
        <v>2</v>
      </c>
      <c r="L57" s="3">
        <v>1</v>
      </c>
      <c r="M57" s="3">
        <v>3</v>
      </c>
      <c r="N57" s="3">
        <v>1</v>
      </c>
      <c r="O57" s="7">
        <f t="shared" si="1"/>
        <v>1.793411600999999</v>
      </c>
      <c r="P57" s="7">
        <f t="shared" si="2"/>
        <v>0.85734503964930042</v>
      </c>
      <c r="Q57" s="7">
        <f t="shared" si="3"/>
        <v>1</v>
      </c>
      <c r="R57" s="3">
        <f t="shared" si="4"/>
        <v>0</v>
      </c>
      <c r="S57" s="3">
        <f t="shared" si="5"/>
        <v>0.85734503964930042</v>
      </c>
      <c r="T57" s="3">
        <f t="shared" si="6"/>
        <v>0.15391482805162457</v>
      </c>
    </row>
    <row r="58" spans="1:20" x14ac:dyDescent="0.25">
      <c r="A58" s="3">
        <v>66</v>
      </c>
      <c r="B58" s="3">
        <v>1</v>
      </c>
      <c r="C58" s="3">
        <v>4</v>
      </c>
      <c r="D58" s="3">
        <v>112</v>
      </c>
      <c r="E58" s="3">
        <v>212</v>
      </c>
      <c r="F58" s="3">
        <v>0</v>
      </c>
      <c r="G58" s="3">
        <v>2</v>
      </c>
      <c r="H58" s="3">
        <v>132</v>
      </c>
      <c r="I58" s="3">
        <v>1</v>
      </c>
      <c r="J58" s="3">
        <v>0.1</v>
      </c>
      <c r="K58" s="3">
        <v>1</v>
      </c>
      <c r="L58" s="3">
        <v>1</v>
      </c>
      <c r="M58" s="3">
        <v>3</v>
      </c>
      <c r="N58" s="3">
        <v>1</v>
      </c>
      <c r="O58" s="7">
        <f t="shared" si="1"/>
        <v>0.39638928950000007</v>
      </c>
      <c r="P58" s="7">
        <f t="shared" si="2"/>
        <v>0.59781983982526243</v>
      </c>
      <c r="Q58" s="7">
        <f t="shared" si="3"/>
        <v>1</v>
      </c>
      <c r="R58" s="3">
        <f t="shared" si="4"/>
        <v>0</v>
      </c>
      <c r="S58" s="3">
        <f t="shared" si="5"/>
        <v>0.59781983982526243</v>
      </c>
      <c r="T58" s="3">
        <f t="shared" si="6"/>
        <v>0.51446584161800213</v>
      </c>
    </row>
    <row r="59" spans="1:20" x14ac:dyDescent="0.25">
      <c r="A59" s="3">
        <v>55</v>
      </c>
      <c r="B59" s="3">
        <v>0</v>
      </c>
      <c r="C59" s="3">
        <v>4</v>
      </c>
      <c r="D59" s="3">
        <v>180</v>
      </c>
      <c r="E59" s="3">
        <v>327</v>
      </c>
      <c r="F59" s="3">
        <v>0</v>
      </c>
      <c r="G59" s="3">
        <v>1</v>
      </c>
      <c r="H59" s="3">
        <v>117</v>
      </c>
      <c r="I59" s="3">
        <v>1</v>
      </c>
      <c r="J59" s="3">
        <v>3.4</v>
      </c>
      <c r="K59" s="3">
        <v>2</v>
      </c>
      <c r="L59" s="3">
        <v>0</v>
      </c>
      <c r="M59" s="3">
        <v>3</v>
      </c>
      <c r="N59" s="3">
        <v>1</v>
      </c>
      <c r="O59" s="7">
        <f t="shared" si="1"/>
        <v>2.2731491609999992</v>
      </c>
      <c r="P59" s="7">
        <f t="shared" si="2"/>
        <v>0.90662871555546276</v>
      </c>
      <c r="Q59" s="7">
        <f t="shared" si="3"/>
        <v>1</v>
      </c>
      <c r="R59" s="3">
        <f t="shared" si="4"/>
        <v>0</v>
      </c>
      <c r="S59" s="3">
        <f t="shared" si="5"/>
        <v>0.90662871555546276</v>
      </c>
      <c r="T59" s="3">
        <f t="shared" si="6"/>
        <v>9.8022267079507314E-2</v>
      </c>
    </row>
    <row r="60" spans="1:20" x14ac:dyDescent="0.25">
      <c r="A60" s="3">
        <v>49</v>
      </c>
      <c r="B60" s="3">
        <v>1</v>
      </c>
      <c r="C60" s="3">
        <v>3</v>
      </c>
      <c r="D60" s="3">
        <v>118</v>
      </c>
      <c r="E60" s="3">
        <v>149</v>
      </c>
      <c r="F60" s="3">
        <v>0</v>
      </c>
      <c r="G60" s="3">
        <v>2</v>
      </c>
      <c r="H60" s="3">
        <v>126</v>
      </c>
      <c r="I60" s="3">
        <v>0</v>
      </c>
      <c r="J60" s="3">
        <v>0.8</v>
      </c>
      <c r="K60" s="3">
        <v>1</v>
      </c>
      <c r="L60" s="3">
        <v>3</v>
      </c>
      <c r="M60" s="3">
        <v>3</v>
      </c>
      <c r="N60" s="3">
        <v>1</v>
      </c>
      <c r="O60" s="7">
        <f t="shared" si="1"/>
        <v>2.1477337689999985</v>
      </c>
      <c r="P60" s="7">
        <f t="shared" si="2"/>
        <v>0.89545681619313888</v>
      </c>
      <c r="Q60" s="7">
        <f t="shared" si="3"/>
        <v>1</v>
      </c>
      <c r="R60" s="3">
        <f t="shared" si="4"/>
        <v>0</v>
      </c>
      <c r="S60" s="3">
        <f t="shared" si="5"/>
        <v>0.89545681619313888</v>
      </c>
      <c r="T60" s="3">
        <f t="shared" si="6"/>
        <v>0.11042128176738243</v>
      </c>
    </row>
    <row r="61" spans="1:20" x14ac:dyDescent="0.25">
      <c r="A61" s="3">
        <v>74</v>
      </c>
      <c r="B61" s="3">
        <v>0</v>
      </c>
      <c r="C61" s="3">
        <v>2</v>
      </c>
      <c r="D61" s="3">
        <v>120</v>
      </c>
      <c r="E61" s="3">
        <v>269</v>
      </c>
      <c r="F61" s="3">
        <v>0</v>
      </c>
      <c r="G61" s="3">
        <v>2</v>
      </c>
      <c r="H61" s="3">
        <v>121</v>
      </c>
      <c r="I61" s="3">
        <v>1</v>
      </c>
      <c r="J61" s="3">
        <v>0.2</v>
      </c>
      <c r="K61" s="3">
        <v>1</v>
      </c>
      <c r="L61" s="3">
        <v>1</v>
      </c>
      <c r="M61" s="3">
        <v>3</v>
      </c>
      <c r="N61" s="3">
        <v>0</v>
      </c>
      <c r="O61" s="7">
        <f t="shared" si="1"/>
        <v>-1.6293563930000019</v>
      </c>
      <c r="P61" s="7">
        <f t="shared" si="2"/>
        <v>0.1639185480066804</v>
      </c>
      <c r="Q61" s="7">
        <f t="shared" si="3"/>
        <v>0</v>
      </c>
      <c r="R61" s="3">
        <f t="shared" si="4"/>
        <v>0</v>
      </c>
      <c r="S61" s="3">
        <f t="shared" si="5"/>
        <v>0.83608145199331962</v>
      </c>
      <c r="T61" s="3">
        <f t="shared" si="6"/>
        <v>0.17902924002947074</v>
      </c>
    </row>
    <row r="62" spans="1:20" x14ac:dyDescent="0.25">
      <c r="A62" s="3">
        <v>52</v>
      </c>
      <c r="B62" s="3">
        <v>1</v>
      </c>
      <c r="C62" s="3">
        <v>4</v>
      </c>
      <c r="D62" s="3">
        <v>125</v>
      </c>
      <c r="E62" s="3">
        <v>212</v>
      </c>
      <c r="F62" s="3">
        <v>0</v>
      </c>
      <c r="G62" s="3">
        <v>0</v>
      </c>
      <c r="H62" s="3">
        <v>168</v>
      </c>
      <c r="I62" s="3">
        <v>0</v>
      </c>
      <c r="J62" s="3">
        <v>1</v>
      </c>
      <c r="K62" s="3">
        <v>1</v>
      </c>
      <c r="L62" s="3">
        <v>2</v>
      </c>
      <c r="M62" s="3">
        <v>7</v>
      </c>
      <c r="N62" s="3">
        <v>1</v>
      </c>
      <c r="O62" s="7">
        <f t="shared" si="1"/>
        <v>1.8100574280000004</v>
      </c>
      <c r="P62" s="7">
        <f t="shared" si="2"/>
        <v>0.85936881481576888</v>
      </c>
      <c r="Q62" s="7">
        <f t="shared" si="3"/>
        <v>1</v>
      </c>
      <c r="R62" s="3">
        <f t="shared" si="4"/>
        <v>0</v>
      </c>
      <c r="S62" s="3">
        <f t="shared" si="5"/>
        <v>0.85936881481576888</v>
      </c>
      <c r="T62" s="3">
        <f t="shared" si="6"/>
        <v>0.15155709545838877</v>
      </c>
    </row>
    <row r="63" spans="1:20" x14ac:dyDescent="0.25">
      <c r="A63" s="3">
        <v>57</v>
      </c>
      <c r="B63" s="3">
        <v>1</v>
      </c>
      <c r="C63" s="3">
        <v>4</v>
      </c>
      <c r="D63" s="3">
        <v>110</v>
      </c>
      <c r="E63" s="3">
        <v>201</v>
      </c>
      <c r="F63" s="3">
        <v>0</v>
      </c>
      <c r="G63" s="3">
        <v>0</v>
      </c>
      <c r="H63" s="3">
        <v>126</v>
      </c>
      <c r="I63" s="3">
        <v>1</v>
      </c>
      <c r="J63" s="3">
        <v>1.5</v>
      </c>
      <c r="K63" s="3">
        <v>2</v>
      </c>
      <c r="L63" s="3">
        <v>0</v>
      </c>
      <c r="M63" s="3">
        <v>6</v>
      </c>
      <c r="N63" s="3">
        <v>0</v>
      </c>
      <c r="O63" s="7">
        <f t="shared" si="1"/>
        <v>0.73572531749999825</v>
      </c>
      <c r="P63" s="7">
        <f t="shared" si="2"/>
        <v>0.67606039452425781</v>
      </c>
      <c r="Q63" s="7">
        <f t="shared" si="3"/>
        <v>1</v>
      </c>
      <c r="R63" s="3">
        <f t="shared" si="4"/>
        <v>1</v>
      </c>
      <c r="S63" s="3">
        <f t="shared" si="5"/>
        <v>0.32393960547574219</v>
      </c>
      <c r="T63" s="3">
        <f t="shared" si="6"/>
        <v>1.1271981834176261</v>
      </c>
    </row>
    <row r="64" spans="1:20" x14ac:dyDescent="0.25">
      <c r="A64" s="3">
        <v>61</v>
      </c>
      <c r="B64" s="3">
        <v>1</v>
      </c>
      <c r="C64" s="3">
        <v>4</v>
      </c>
      <c r="D64" s="3">
        <v>138</v>
      </c>
      <c r="E64" s="3">
        <v>166</v>
      </c>
      <c r="F64" s="3">
        <v>0</v>
      </c>
      <c r="G64" s="3">
        <v>2</v>
      </c>
      <c r="H64" s="3">
        <v>125</v>
      </c>
      <c r="I64" s="3">
        <v>1</v>
      </c>
      <c r="J64" s="3">
        <v>3.6</v>
      </c>
      <c r="K64" s="3">
        <v>2</v>
      </c>
      <c r="L64" s="3">
        <v>1</v>
      </c>
      <c r="M64" s="3">
        <v>3</v>
      </c>
      <c r="N64" s="3">
        <v>1</v>
      </c>
      <c r="O64" s="7">
        <f t="shared" si="1"/>
        <v>2.9437117779999991</v>
      </c>
      <c r="P64" s="7">
        <f t="shared" si="2"/>
        <v>0.94996544663885674</v>
      </c>
      <c r="Q64" s="7">
        <f t="shared" si="3"/>
        <v>1</v>
      </c>
      <c r="R64" s="3">
        <f t="shared" si="4"/>
        <v>0</v>
      </c>
      <c r="S64" s="3">
        <f t="shared" si="5"/>
        <v>0.94996544663885674</v>
      </c>
      <c r="T64" s="3">
        <f t="shared" si="6"/>
        <v>5.1329667008124448E-2</v>
      </c>
    </row>
    <row r="65" spans="1:20" x14ac:dyDescent="0.25">
      <c r="A65" s="3">
        <v>59</v>
      </c>
      <c r="B65" s="3">
        <v>1</v>
      </c>
      <c r="C65" s="3">
        <v>3</v>
      </c>
      <c r="D65" s="3">
        <v>126</v>
      </c>
      <c r="E65" s="3">
        <v>218</v>
      </c>
      <c r="F65" s="3">
        <v>1</v>
      </c>
      <c r="G65" s="3">
        <v>0</v>
      </c>
      <c r="H65" s="3">
        <v>134</v>
      </c>
      <c r="I65" s="3">
        <v>0</v>
      </c>
      <c r="J65" s="3">
        <v>2.2000000000000002</v>
      </c>
      <c r="K65" s="3">
        <v>2</v>
      </c>
      <c r="L65" s="3">
        <v>1</v>
      </c>
      <c r="M65" s="3">
        <v>6</v>
      </c>
      <c r="N65" s="3">
        <v>1</v>
      </c>
      <c r="O65" s="7">
        <f t="shared" si="1"/>
        <v>0.58177076199999789</v>
      </c>
      <c r="P65" s="7">
        <f t="shared" si="2"/>
        <v>0.64147475678648547</v>
      </c>
      <c r="Q65" s="7">
        <f t="shared" si="3"/>
        <v>1</v>
      </c>
      <c r="R65" s="3">
        <f t="shared" si="4"/>
        <v>0</v>
      </c>
      <c r="S65" s="3">
        <f t="shared" si="5"/>
        <v>0.64147475678648547</v>
      </c>
      <c r="T65" s="3">
        <f t="shared" si="6"/>
        <v>0.44398544599455425</v>
      </c>
    </row>
    <row r="66" spans="1:20" x14ac:dyDescent="0.25">
      <c r="A66" s="3">
        <v>42</v>
      </c>
      <c r="B66" s="3">
        <v>1</v>
      </c>
      <c r="C66" s="3">
        <v>3</v>
      </c>
      <c r="D66" s="3">
        <v>130</v>
      </c>
      <c r="E66" s="3">
        <v>180</v>
      </c>
      <c r="F66" s="3">
        <v>0</v>
      </c>
      <c r="G66" s="3">
        <v>0</v>
      </c>
      <c r="H66" s="3">
        <v>150</v>
      </c>
      <c r="I66" s="3">
        <v>0</v>
      </c>
      <c r="J66" s="3">
        <v>0</v>
      </c>
      <c r="K66" s="3">
        <v>1</v>
      </c>
      <c r="L66" s="3">
        <v>0</v>
      </c>
      <c r="M66" s="3">
        <v>3</v>
      </c>
      <c r="N66" s="3">
        <v>0</v>
      </c>
      <c r="O66" s="7">
        <f t="shared" si="1"/>
        <v>-2.7075205160000007</v>
      </c>
      <c r="P66" s="7">
        <f t="shared" si="2"/>
        <v>6.253104342965024E-2</v>
      </c>
      <c r="Q66" s="7">
        <f t="shared" si="3"/>
        <v>0</v>
      </c>
      <c r="R66" s="3">
        <f t="shared" si="4"/>
        <v>0</v>
      </c>
      <c r="S66" s="3">
        <f t="shared" si="5"/>
        <v>0.93746895657034979</v>
      </c>
      <c r="T66" s="3">
        <f t="shared" si="6"/>
        <v>6.4571634677445269E-2</v>
      </c>
    </row>
    <row r="67" spans="1:20" x14ac:dyDescent="0.25">
      <c r="A67" s="3">
        <v>58</v>
      </c>
      <c r="B67" s="3">
        <v>1</v>
      </c>
      <c r="C67" s="3">
        <v>4</v>
      </c>
      <c r="D67" s="3">
        <v>114</v>
      </c>
      <c r="E67" s="3">
        <v>318</v>
      </c>
      <c r="F67" s="3">
        <v>0</v>
      </c>
      <c r="G67" s="3">
        <v>1</v>
      </c>
      <c r="H67" s="3">
        <v>140</v>
      </c>
      <c r="I67" s="3">
        <v>0</v>
      </c>
      <c r="J67" s="3">
        <v>4.4000000000000004</v>
      </c>
      <c r="K67" s="3">
        <v>3</v>
      </c>
      <c r="L67" s="3">
        <v>3</v>
      </c>
      <c r="M67" s="3">
        <v>6</v>
      </c>
      <c r="N67" s="3">
        <v>1</v>
      </c>
      <c r="O67" s="7">
        <f t="shared" si="1"/>
        <v>6.0818625659999981</v>
      </c>
      <c r="P67" s="7">
        <f t="shared" si="2"/>
        <v>0.99772128565894547</v>
      </c>
      <c r="Q67" s="7">
        <f t="shared" si="3"/>
        <v>1</v>
      </c>
      <c r="R67" s="3">
        <f t="shared" si="4"/>
        <v>0</v>
      </c>
      <c r="S67" s="3">
        <f t="shared" si="5"/>
        <v>0.99772128565894547</v>
      </c>
      <c r="T67" s="3">
        <f t="shared" si="6"/>
        <v>2.2813145614359221E-3</v>
      </c>
    </row>
    <row r="68" spans="1:20" x14ac:dyDescent="0.25">
      <c r="A68" s="3">
        <v>57</v>
      </c>
      <c r="B68" s="3">
        <v>0</v>
      </c>
      <c r="C68" s="3">
        <v>4</v>
      </c>
      <c r="D68" s="3">
        <v>140</v>
      </c>
      <c r="E68" s="3">
        <v>241</v>
      </c>
      <c r="F68" s="3">
        <v>0</v>
      </c>
      <c r="G68" s="3">
        <v>0</v>
      </c>
      <c r="H68" s="3">
        <v>123</v>
      </c>
      <c r="I68" s="3">
        <v>1</v>
      </c>
      <c r="J68" s="3">
        <v>0.2</v>
      </c>
      <c r="K68" s="3">
        <v>2</v>
      </c>
      <c r="L68" s="3">
        <v>0</v>
      </c>
      <c r="M68" s="3">
        <v>7</v>
      </c>
      <c r="N68" s="3">
        <v>1</v>
      </c>
      <c r="O68" s="7">
        <f t="shared" si="1"/>
        <v>0.92161590799999971</v>
      </c>
      <c r="P68" s="7">
        <f t="shared" si="2"/>
        <v>0.71537124365088867</v>
      </c>
      <c r="Q68" s="7">
        <f t="shared" si="3"/>
        <v>1</v>
      </c>
      <c r="R68" s="3">
        <f t="shared" si="4"/>
        <v>0</v>
      </c>
      <c r="S68" s="3">
        <f t="shared" si="5"/>
        <v>0.71537124365088867</v>
      </c>
      <c r="T68" s="3">
        <f t="shared" si="6"/>
        <v>0.33495364914781872</v>
      </c>
    </row>
    <row r="69" spans="1:20" x14ac:dyDescent="0.25">
      <c r="A69" s="3">
        <v>68</v>
      </c>
      <c r="B69" s="3">
        <v>1</v>
      </c>
      <c r="C69" s="3">
        <v>4</v>
      </c>
      <c r="D69" s="3">
        <v>144</v>
      </c>
      <c r="E69" s="3">
        <v>193</v>
      </c>
      <c r="F69" s="3">
        <v>1</v>
      </c>
      <c r="G69" s="3">
        <v>0</v>
      </c>
      <c r="H69" s="3">
        <v>141</v>
      </c>
      <c r="I69" s="3">
        <v>0</v>
      </c>
      <c r="J69" s="3">
        <v>3.4</v>
      </c>
      <c r="K69" s="3">
        <v>2</v>
      </c>
      <c r="L69" s="3">
        <v>2</v>
      </c>
      <c r="M69" s="3">
        <v>7</v>
      </c>
      <c r="N69" s="3">
        <v>1</v>
      </c>
      <c r="O69" s="7">
        <f t="shared" si="1"/>
        <v>3.6439632309999972</v>
      </c>
      <c r="P69" s="7">
        <f t="shared" si="2"/>
        <v>0.97451781528828874</v>
      </c>
      <c r="Q69" s="7">
        <f t="shared" si="3"/>
        <v>1</v>
      </c>
      <c r="R69" s="3">
        <f t="shared" si="4"/>
        <v>0</v>
      </c>
      <c r="S69" s="3">
        <f t="shared" si="5"/>
        <v>0.97451781528828874</v>
      </c>
      <c r="T69" s="3">
        <f t="shared" si="6"/>
        <v>2.581247873596236E-2</v>
      </c>
    </row>
    <row r="70" spans="1:20" x14ac:dyDescent="0.25">
      <c r="A70" s="3">
        <v>57</v>
      </c>
      <c r="B70" s="3">
        <v>0</v>
      </c>
      <c r="C70" s="3">
        <v>2</v>
      </c>
      <c r="D70" s="3">
        <v>130</v>
      </c>
      <c r="E70" s="3">
        <v>236</v>
      </c>
      <c r="F70" s="3">
        <v>0</v>
      </c>
      <c r="G70" s="3">
        <v>2</v>
      </c>
      <c r="H70" s="3">
        <v>174</v>
      </c>
      <c r="I70" s="3">
        <v>0</v>
      </c>
      <c r="J70" s="3">
        <v>0</v>
      </c>
      <c r="K70" s="3">
        <v>2</v>
      </c>
      <c r="L70" s="3">
        <v>1</v>
      </c>
      <c r="M70" s="3">
        <v>3</v>
      </c>
      <c r="N70" s="3">
        <v>1</v>
      </c>
      <c r="O70" s="7">
        <f t="shared" si="1"/>
        <v>-2.245655751000001</v>
      </c>
      <c r="P70" s="7">
        <f t="shared" si="2"/>
        <v>9.5724850188431757E-2</v>
      </c>
      <c r="Q70" s="7">
        <f t="shared" si="3"/>
        <v>0</v>
      </c>
      <c r="R70" s="3">
        <f t="shared" si="4"/>
        <v>1</v>
      </c>
      <c r="S70" s="3">
        <f t="shared" si="5"/>
        <v>9.5724850188431757E-2</v>
      </c>
      <c r="T70" s="3">
        <f t="shared" si="6"/>
        <v>2.3462773466403037</v>
      </c>
    </row>
    <row r="71" spans="1:20" x14ac:dyDescent="0.25">
      <c r="A71" s="3">
        <v>56</v>
      </c>
      <c r="B71" s="3">
        <v>1</v>
      </c>
      <c r="C71" s="3">
        <v>2</v>
      </c>
      <c r="D71" s="3">
        <v>120</v>
      </c>
      <c r="E71" s="3">
        <v>236</v>
      </c>
      <c r="F71" s="3">
        <v>0</v>
      </c>
      <c r="G71" s="3">
        <v>0</v>
      </c>
      <c r="H71" s="3">
        <v>178</v>
      </c>
      <c r="I71" s="3">
        <v>0</v>
      </c>
      <c r="J71" s="3">
        <v>0.8</v>
      </c>
      <c r="K71" s="3">
        <v>1</v>
      </c>
      <c r="L71" s="3">
        <v>0</v>
      </c>
      <c r="M71" s="3">
        <v>3</v>
      </c>
      <c r="N71" s="3">
        <v>0</v>
      </c>
      <c r="O71" s="7">
        <f t="shared" ref="O71:O134" si="7">SUMPRODUCT(A$4:M$4, A71:M71)+N$4</f>
        <v>-4.2761323290000011</v>
      </c>
      <c r="P71" s="7">
        <f t="shared" ref="P71:P134" si="8">1/(1+EXP(0-O71))</f>
        <v>1.3705844034405855E-2</v>
      </c>
      <c r="Q71" s="7">
        <f t="shared" ref="Q71:Q134" si="9">IF(P71&lt;=0.5, 0, 1)</f>
        <v>0</v>
      </c>
      <c r="R71" s="3">
        <f t="shared" ref="R71:R134" si="10">IF(N71=Q71, 0, 1)</f>
        <v>0</v>
      </c>
      <c r="S71" s="3">
        <f t="shared" ref="S71:S134" si="11">IF(N71=1, P71, 1-P71)</f>
        <v>0.98629415596559411</v>
      </c>
      <c r="T71" s="3">
        <f t="shared" ref="T71:T134" si="12">IF(S71=0, 100000, -LN(S71))</f>
        <v>1.3800636249523213E-2</v>
      </c>
    </row>
    <row r="72" spans="1:20" x14ac:dyDescent="0.25">
      <c r="A72" s="3">
        <v>62</v>
      </c>
      <c r="B72" s="3">
        <v>0</v>
      </c>
      <c r="C72" s="3">
        <v>4</v>
      </c>
      <c r="D72" s="3">
        <v>140</v>
      </c>
      <c r="E72" s="3">
        <v>268</v>
      </c>
      <c r="F72" s="3">
        <v>0</v>
      </c>
      <c r="G72" s="3">
        <v>2</v>
      </c>
      <c r="H72" s="3">
        <v>160</v>
      </c>
      <c r="I72" s="3">
        <v>0</v>
      </c>
      <c r="J72" s="3">
        <v>3.6</v>
      </c>
      <c r="K72" s="3">
        <v>3</v>
      </c>
      <c r="L72" s="3">
        <v>2</v>
      </c>
      <c r="M72" s="3">
        <v>3</v>
      </c>
      <c r="N72" s="3">
        <v>1</v>
      </c>
      <c r="O72" s="7">
        <f t="shared" si="7"/>
        <v>3.1294246979999993</v>
      </c>
      <c r="P72" s="7">
        <f t="shared" si="8"/>
        <v>0.95809029876784868</v>
      </c>
      <c r="Q72" s="7">
        <f t="shared" si="9"/>
        <v>1</v>
      </c>
      <c r="R72" s="3">
        <f t="shared" si="10"/>
        <v>0</v>
      </c>
      <c r="S72" s="3">
        <f t="shared" si="11"/>
        <v>0.95809029876784868</v>
      </c>
      <c r="T72" s="3">
        <f t="shared" si="12"/>
        <v>4.2813247866762813E-2</v>
      </c>
    </row>
    <row r="73" spans="1:20" x14ac:dyDescent="0.25">
      <c r="A73" s="3">
        <v>57</v>
      </c>
      <c r="B73" s="3">
        <v>1</v>
      </c>
      <c r="C73" s="3">
        <v>3</v>
      </c>
      <c r="D73" s="3">
        <v>150</v>
      </c>
      <c r="E73" s="3">
        <v>168</v>
      </c>
      <c r="F73" s="3">
        <v>0</v>
      </c>
      <c r="G73" s="3">
        <v>0</v>
      </c>
      <c r="H73" s="3">
        <v>174</v>
      </c>
      <c r="I73" s="3">
        <v>0</v>
      </c>
      <c r="J73" s="3">
        <v>1.6</v>
      </c>
      <c r="K73" s="3">
        <v>1</v>
      </c>
      <c r="L73" s="3">
        <v>0</v>
      </c>
      <c r="M73" s="3">
        <v>3</v>
      </c>
      <c r="N73" s="3">
        <v>0</v>
      </c>
      <c r="O73" s="7">
        <f t="shared" si="7"/>
        <v>-2.4271280750000006</v>
      </c>
      <c r="P73" s="7">
        <f t="shared" si="8"/>
        <v>8.11272993811398E-2</v>
      </c>
      <c r="Q73" s="7">
        <f t="shared" si="9"/>
        <v>0</v>
      </c>
      <c r="R73" s="3">
        <f t="shared" si="10"/>
        <v>0</v>
      </c>
      <c r="S73" s="3">
        <f t="shared" si="11"/>
        <v>0.91887270061886017</v>
      </c>
      <c r="T73" s="3">
        <f t="shared" si="12"/>
        <v>8.4607685678326702E-2</v>
      </c>
    </row>
    <row r="74" spans="1:20" x14ac:dyDescent="0.25">
      <c r="A74" s="3">
        <v>54</v>
      </c>
      <c r="B74" s="3">
        <v>1</v>
      </c>
      <c r="C74" s="3">
        <v>4</v>
      </c>
      <c r="D74" s="3">
        <v>140</v>
      </c>
      <c r="E74" s="3">
        <v>239</v>
      </c>
      <c r="F74" s="3">
        <v>0</v>
      </c>
      <c r="G74" s="3">
        <v>0</v>
      </c>
      <c r="H74" s="3">
        <v>160</v>
      </c>
      <c r="I74" s="3">
        <v>0</v>
      </c>
      <c r="J74" s="3">
        <v>1.2</v>
      </c>
      <c r="K74" s="3">
        <v>1</v>
      </c>
      <c r="L74" s="3">
        <v>0</v>
      </c>
      <c r="M74" s="3">
        <v>3</v>
      </c>
      <c r="N74" s="3">
        <v>0</v>
      </c>
      <c r="O74" s="7">
        <f t="shared" si="7"/>
        <v>-1.4911029520000012</v>
      </c>
      <c r="P74" s="7">
        <f t="shared" si="8"/>
        <v>0.18375623807183608</v>
      </c>
      <c r="Q74" s="7">
        <f t="shared" si="9"/>
        <v>0</v>
      </c>
      <c r="R74" s="3">
        <f t="shared" si="10"/>
        <v>0</v>
      </c>
      <c r="S74" s="3">
        <f t="shared" si="11"/>
        <v>0.81624376192816395</v>
      </c>
      <c r="T74" s="3">
        <f t="shared" si="12"/>
        <v>0.20304224077516908</v>
      </c>
    </row>
    <row r="75" spans="1:20" x14ac:dyDescent="0.25">
      <c r="A75" s="3">
        <v>48</v>
      </c>
      <c r="B75" s="3">
        <v>0</v>
      </c>
      <c r="C75" s="3">
        <v>3</v>
      </c>
      <c r="D75" s="3">
        <v>130</v>
      </c>
      <c r="E75" s="3">
        <v>275</v>
      </c>
      <c r="F75" s="3">
        <v>0</v>
      </c>
      <c r="G75" s="3">
        <v>0</v>
      </c>
      <c r="H75" s="3">
        <v>139</v>
      </c>
      <c r="I75" s="3">
        <v>0</v>
      </c>
      <c r="J75" s="3">
        <v>0.2</v>
      </c>
      <c r="K75" s="3">
        <v>1</v>
      </c>
      <c r="L75" s="3">
        <v>0</v>
      </c>
      <c r="M75" s="3">
        <v>3</v>
      </c>
      <c r="N75" s="3">
        <v>0</v>
      </c>
      <c r="O75" s="7">
        <f t="shared" si="7"/>
        <v>-3.1749235190000009</v>
      </c>
      <c r="P75" s="7">
        <f t="shared" si="8"/>
        <v>4.0120377193788637E-2</v>
      </c>
      <c r="Q75" s="7">
        <f t="shared" si="9"/>
        <v>0</v>
      </c>
      <c r="R75" s="3">
        <f t="shared" si="10"/>
        <v>0</v>
      </c>
      <c r="S75" s="3">
        <f t="shared" si="11"/>
        <v>0.95987962280621142</v>
      </c>
      <c r="T75" s="3">
        <f t="shared" si="12"/>
        <v>4.0947395292799796E-2</v>
      </c>
    </row>
    <row r="76" spans="1:20" x14ac:dyDescent="0.25">
      <c r="A76" s="3">
        <v>58</v>
      </c>
      <c r="B76" s="3">
        <v>0</v>
      </c>
      <c r="C76" s="3">
        <v>1</v>
      </c>
      <c r="D76" s="3">
        <v>150</v>
      </c>
      <c r="E76" s="3">
        <v>283</v>
      </c>
      <c r="F76" s="3">
        <v>1</v>
      </c>
      <c r="G76" s="3">
        <v>2</v>
      </c>
      <c r="H76" s="3">
        <v>162</v>
      </c>
      <c r="I76" s="3">
        <v>0</v>
      </c>
      <c r="J76" s="3">
        <v>1</v>
      </c>
      <c r="K76" s="3">
        <v>1</v>
      </c>
      <c r="L76" s="3">
        <v>0</v>
      </c>
      <c r="M76" s="3">
        <v>3</v>
      </c>
      <c r="N76" s="3">
        <v>0</v>
      </c>
      <c r="O76" s="7">
        <f t="shared" si="7"/>
        <v>-4.6385586760000006</v>
      </c>
      <c r="P76" s="7">
        <f t="shared" si="8"/>
        <v>9.5789831777946029E-3</v>
      </c>
      <c r="Q76" s="7">
        <f t="shared" si="9"/>
        <v>0</v>
      </c>
      <c r="R76" s="3">
        <f t="shared" si="10"/>
        <v>0</v>
      </c>
      <c r="S76" s="3">
        <f t="shared" si="11"/>
        <v>0.9904210168222054</v>
      </c>
      <c r="T76" s="3">
        <f t="shared" si="12"/>
        <v>9.6251567375743724E-3</v>
      </c>
    </row>
    <row r="77" spans="1:20" x14ac:dyDescent="0.25">
      <c r="A77" s="3">
        <v>58</v>
      </c>
      <c r="B77" s="3">
        <v>1</v>
      </c>
      <c r="C77" s="3">
        <v>2</v>
      </c>
      <c r="D77" s="3">
        <v>120</v>
      </c>
      <c r="E77" s="3">
        <v>284</v>
      </c>
      <c r="F77" s="3">
        <v>0</v>
      </c>
      <c r="G77" s="3">
        <v>2</v>
      </c>
      <c r="H77" s="3">
        <v>160</v>
      </c>
      <c r="I77" s="3">
        <v>0</v>
      </c>
      <c r="J77" s="3">
        <v>1.8</v>
      </c>
      <c r="K77" s="3">
        <v>2</v>
      </c>
      <c r="L77" s="3">
        <v>0</v>
      </c>
      <c r="M77" s="3">
        <v>3</v>
      </c>
      <c r="N77" s="3">
        <v>1</v>
      </c>
      <c r="O77" s="7">
        <f t="shared" si="7"/>
        <v>-2.2386509029999999</v>
      </c>
      <c r="P77" s="7">
        <f t="shared" si="8"/>
        <v>9.6332920561366484E-2</v>
      </c>
      <c r="Q77" s="7">
        <f t="shared" si="9"/>
        <v>0</v>
      </c>
      <c r="R77" s="3">
        <f t="shared" si="10"/>
        <v>1</v>
      </c>
      <c r="S77" s="3">
        <f t="shared" si="11"/>
        <v>9.6332920561366484E-2</v>
      </c>
      <c r="T77" s="3">
        <f t="shared" si="12"/>
        <v>2.3399451643771001</v>
      </c>
    </row>
    <row r="78" spans="1:20" x14ac:dyDescent="0.25">
      <c r="A78" s="3">
        <v>58</v>
      </c>
      <c r="B78" s="3">
        <v>1</v>
      </c>
      <c r="C78" s="3">
        <v>3</v>
      </c>
      <c r="D78" s="3">
        <v>132</v>
      </c>
      <c r="E78" s="3">
        <v>224</v>
      </c>
      <c r="F78" s="3">
        <v>0</v>
      </c>
      <c r="G78" s="3">
        <v>2</v>
      </c>
      <c r="H78" s="3">
        <v>173</v>
      </c>
      <c r="I78" s="3">
        <v>0</v>
      </c>
      <c r="J78" s="3">
        <v>3.2</v>
      </c>
      <c r="K78" s="3">
        <v>1</v>
      </c>
      <c r="L78" s="3">
        <v>2</v>
      </c>
      <c r="M78" s="3">
        <v>7</v>
      </c>
      <c r="N78" s="3">
        <v>1</v>
      </c>
      <c r="O78" s="7">
        <f t="shared" si="7"/>
        <v>2.0287640419999988</v>
      </c>
      <c r="P78" s="7">
        <f t="shared" si="8"/>
        <v>0.88378419326703517</v>
      </c>
      <c r="Q78" s="7">
        <f t="shared" si="9"/>
        <v>1</v>
      </c>
      <c r="R78" s="3">
        <f t="shared" si="10"/>
        <v>0</v>
      </c>
      <c r="S78" s="3">
        <f t="shared" si="11"/>
        <v>0.88378419326703517</v>
      </c>
      <c r="T78" s="3">
        <f t="shared" si="12"/>
        <v>0.12354237141145126</v>
      </c>
    </row>
    <row r="79" spans="1:20" x14ac:dyDescent="0.25">
      <c r="A79" s="3">
        <v>40</v>
      </c>
      <c r="B79" s="3">
        <v>1</v>
      </c>
      <c r="C79" s="3">
        <v>4</v>
      </c>
      <c r="D79" s="3">
        <v>110</v>
      </c>
      <c r="E79" s="3">
        <v>167</v>
      </c>
      <c r="F79" s="3">
        <v>0</v>
      </c>
      <c r="G79" s="3">
        <v>2</v>
      </c>
      <c r="H79" s="3">
        <v>114</v>
      </c>
      <c r="I79" s="3">
        <v>1</v>
      </c>
      <c r="J79" s="3">
        <v>2</v>
      </c>
      <c r="K79" s="3">
        <v>2</v>
      </c>
      <c r="L79" s="3">
        <v>0</v>
      </c>
      <c r="M79" s="3">
        <v>7</v>
      </c>
      <c r="N79" s="3">
        <v>1</v>
      </c>
      <c r="O79" s="7">
        <f t="shared" si="7"/>
        <v>1.9895107469999989</v>
      </c>
      <c r="P79" s="7">
        <f t="shared" si="8"/>
        <v>0.87969136732059283</v>
      </c>
      <c r="Q79" s="7">
        <f t="shared" si="9"/>
        <v>1</v>
      </c>
      <c r="R79" s="3">
        <f t="shared" si="10"/>
        <v>0</v>
      </c>
      <c r="S79" s="3">
        <f t="shared" si="11"/>
        <v>0.87969136732059283</v>
      </c>
      <c r="T79" s="3">
        <f t="shared" si="12"/>
        <v>0.12818415198003269</v>
      </c>
    </row>
    <row r="80" spans="1:20" x14ac:dyDescent="0.25">
      <c r="A80" s="3">
        <v>60</v>
      </c>
      <c r="B80" s="3">
        <v>1</v>
      </c>
      <c r="C80" s="3">
        <v>4</v>
      </c>
      <c r="D80" s="3">
        <v>117</v>
      </c>
      <c r="E80" s="3">
        <v>230</v>
      </c>
      <c r="F80" s="3">
        <v>1</v>
      </c>
      <c r="G80" s="3">
        <v>0</v>
      </c>
      <c r="H80" s="3">
        <v>160</v>
      </c>
      <c r="I80" s="3">
        <v>1</v>
      </c>
      <c r="J80" s="3">
        <v>1.4</v>
      </c>
      <c r="K80" s="3">
        <v>1</v>
      </c>
      <c r="L80" s="3">
        <v>2</v>
      </c>
      <c r="M80" s="3">
        <v>7</v>
      </c>
      <c r="N80" s="3">
        <v>1</v>
      </c>
      <c r="O80" s="7">
        <f t="shared" si="7"/>
        <v>2.0089438509999979</v>
      </c>
      <c r="P80" s="7">
        <f t="shared" si="8"/>
        <v>0.88173293140085274</v>
      </c>
      <c r="Q80" s="7">
        <f t="shared" si="9"/>
        <v>1</v>
      </c>
      <c r="R80" s="3">
        <f t="shared" si="10"/>
        <v>0</v>
      </c>
      <c r="S80" s="3">
        <f t="shared" si="11"/>
        <v>0.88173293140085274</v>
      </c>
      <c r="T80" s="3">
        <f t="shared" si="12"/>
        <v>0.12586606769342484</v>
      </c>
    </row>
    <row r="81" spans="1:20" x14ac:dyDescent="0.25">
      <c r="A81" s="3">
        <v>59</v>
      </c>
      <c r="B81" s="3">
        <v>1</v>
      </c>
      <c r="C81" s="3">
        <v>4</v>
      </c>
      <c r="D81" s="3">
        <v>135</v>
      </c>
      <c r="E81" s="3">
        <v>234</v>
      </c>
      <c r="F81" s="3">
        <v>0</v>
      </c>
      <c r="G81" s="3">
        <v>0</v>
      </c>
      <c r="H81" s="3">
        <v>161</v>
      </c>
      <c r="I81" s="3">
        <v>0</v>
      </c>
      <c r="J81" s="3">
        <v>0.5</v>
      </c>
      <c r="K81" s="3">
        <v>2</v>
      </c>
      <c r="L81" s="3">
        <v>0</v>
      </c>
      <c r="M81" s="3">
        <v>7</v>
      </c>
      <c r="N81" s="3">
        <v>0</v>
      </c>
      <c r="O81" s="7">
        <f t="shared" si="7"/>
        <v>0.17572239449999927</v>
      </c>
      <c r="P81" s="7">
        <f t="shared" si="8"/>
        <v>0.54381790452342949</v>
      </c>
      <c r="Q81" s="7">
        <f t="shared" si="9"/>
        <v>1</v>
      </c>
      <c r="R81" s="3">
        <f t="shared" si="10"/>
        <v>1</v>
      </c>
      <c r="S81" s="3">
        <f t="shared" si="11"/>
        <v>0.45618209547657051</v>
      </c>
      <c r="T81" s="3">
        <f t="shared" si="12"/>
        <v>0.78486321699416617</v>
      </c>
    </row>
    <row r="82" spans="1:20" x14ac:dyDescent="0.25">
      <c r="A82" s="3">
        <v>44</v>
      </c>
      <c r="B82" s="3">
        <v>1</v>
      </c>
      <c r="C82" s="3">
        <v>3</v>
      </c>
      <c r="D82" s="3">
        <v>130</v>
      </c>
      <c r="E82" s="3">
        <v>233</v>
      </c>
      <c r="F82" s="3">
        <v>0</v>
      </c>
      <c r="G82" s="3">
        <v>0</v>
      </c>
      <c r="H82" s="3">
        <v>179</v>
      </c>
      <c r="I82" s="3">
        <v>1</v>
      </c>
      <c r="J82" s="3">
        <v>0.4</v>
      </c>
      <c r="K82" s="3">
        <v>1</v>
      </c>
      <c r="L82" s="3">
        <v>0</v>
      </c>
      <c r="M82" s="3">
        <v>3</v>
      </c>
      <c r="N82" s="3">
        <v>0</v>
      </c>
      <c r="O82" s="7">
        <f t="shared" si="7"/>
        <v>-2.3870780210000007</v>
      </c>
      <c r="P82" s="7">
        <f t="shared" si="8"/>
        <v>8.4163384281044223E-2</v>
      </c>
      <c r="Q82" s="7">
        <f t="shared" si="9"/>
        <v>0</v>
      </c>
      <c r="R82" s="3">
        <f t="shared" si="10"/>
        <v>0</v>
      </c>
      <c r="S82" s="3">
        <f t="shared" si="11"/>
        <v>0.9158366157189558</v>
      </c>
      <c r="T82" s="3">
        <f t="shared" si="12"/>
        <v>8.7917297336357073E-2</v>
      </c>
    </row>
    <row r="83" spans="1:20" x14ac:dyDescent="0.25">
      <c r="A83" s="3">
        <v>65</v>
      </c>
      <c r="B83" s="3">
        <v>0</v>
      </c>
      <c r="C83" s="3">
        <v>4</v>
      </c>
      <c r="D83" s="3">
        <v>150</v>
      </c>
      <c r="E83" s="3">
        <v>225</v>
      </c>
      <c r="F83" s="3">
        <v>0</v>
      </c>
      <c r="G83" s="3">
        <v>2</v>
      </c>
      <c r="H83" s="3">
        <v>114</v>
      </c>
      <c r="I83" s="3">
        <v>0</v>
      </c>
      <c r="J83" s="3">
        <v>1</v>
      </c>
      <c r="K83" s="3">
        <v>2</v>
      </c>
      <c r="L83" s="3">
        <v>3</v>
      </c>
      <c r="M83" s="3">
        <v>7</v>
      </c>
      <c r="N83" s="3">
        <v>1</v>
      </c>
      <c r="O83" s="7">
        <f t="shared" si="7"/>
        <v>5.435968256999999</v>
      </c>
      <c r="P83" s="7">
        <f t="shared" si="8"/>
        <v>0.99566188695191804</v>
      </c>
      <c r="Q83" s="7">
        <f t="shared" si="9"/>
        <v>1</v>
      </c>
      <c r="R83" s="3">
        <f t="shared" si="10"/>
        <v>0</v>
      </c>
      <c r="S83" s="3">
        <f t="shared" si="11"/>
        <v>0.99566188695191804</v>
      </c>
      <c r="T83" s="3">
        <f t="shared" si="12"/>
        <v>4.347549962648376E-3</v>
      </c>
    </row>
    <row r="84" spans="1:20" x14ac:dyDescent="0.25">
      <c r="A84" s="3">
        <v>51</v>
      </c>
      <c r="B84" s="3">
        <v>1</v>
      </c>
      <c r="C84" s="3">
        <v>3</v>
      </c>
      <c r="D84" s="3">
        <v>110</v>
      </c>
      <c r="E84" s="3">
        <v>175</v>
      </c>
      <c r="F84" s="3">
        <v>0</v>
      </c>
      <c r="G84" s="3">
        <v>0</v>
      </c>
      <c r="H84" s="3">
        <v>123</v>
      </c>
      <c r="I84" s="3">
        <v>0</v>
      </c>
      <c r="J84" s="3">
        <v>0.6</v>
      </c>
      <c r="K84" s="3">
        <v>1</v>
      </c>
      <c r="L84" s="3">
        <v>0</v>
      </c>
      <c r="M84" s="3">
        <v>3</v>
      </c>
      <c r="N84" s="3">
        <v>0</v>
      </c>
      <c r="O84" s="7">
        <f t="shared" si="7"/>
        <v>-2.7345360910000007</v>
      </c>
      <c r="P84" s="7">
        <f t="shared" si="8"/>
        <v>6.0965957896336756E-2</v>
      </c>
      <c r="Q84" s="7">
        <f t="shared" si="9"/>
        <v>0</v>
      </c>
      <c r="R84" s="3">
        <f t="shared" si="10"/>
        <v>0</v>
      </c>
      <c r="S84" s="3">
        <f t="shared" si="11"/>
        <v>0.93903404210366326</v>
      </c>
      <c r="T84" s="3">
        <f t="shared" si="12"/>
        <v>6.2903546859492621E-2</v>
      </c>
    </row>
    <row r="85" spans="1:20" x14ac:dyDescent="0.25">
      <c r="A85" s="3">
        <v>65</v>
      </c>
      <c r="B85" s="3">
        <v>0</v>
      </c>
      <c r="C85" s="3">
        <v>3</v>
      </c>
      <c r="D85" s="3">
        <v>140</v>
      </c>
      <c r="E85" s="3">
        <v>417</v>
      </c>
      <c r="F85" s="3">
        <v>1</v>
      </c>
      <c r="G85" s="3">
        <v>2</v>
      </c>
      <c r="H85" s="3">
        <v>157</v>
      </c>
      <c r="I85" s="3">
        <v>0</v>
      </c>
      <c r="J85" s="3">
        <v>0.8</v>
      </c>
      <c r="K85" s="3">
        <v>1</v>
      </c>
      <c r="L85" s="3">
        <v>1</v>
      </c>
      <c r="M85" s="3">
        <v>3</v>
      </c>
      <c r="N85" s="3">
        <v>0</v>
      </c>
      <c r="O85" s="7">
        <f t="shared" si="7"/>
        <v>-1.5642687850000012</v>
      </c>
      <c r="P85" s="7">
        <f t="shared" si="8"/>
        <v>0.17303495725921034</v>
      </c>
      <c r="Q85" s="7">
        <f t="shared" si="9"/>
        <v>0</v>
      </c>
      <c r="R85" s="3">
        <f t="shared" si="10"/>
        <v>0</v>
      </c>
      <c r="S85" s="3">
        <f t="shared" si="11"/>
        <v>0.82696504274078964</v>
      </c>
      <c r="T85" s="3">
        <f t="shared" si="12"/>
        <v>0.18999285481461528</v>
      </c>
    </row>
    <row r="86" spans="1:20" x14ac:dyDescent="0.25">
      <c r="A86" s="3">
        <v>60</v>
      </c>
      <c r="B86" s="3">
        <v>1</v>
      </c>
      <c r="C86" s="3">
        <v>4</v>
      </c>
      <c r="D86" s="3">
        <v>130</v>
      </c>
      <c r="E86" s="3">
        <v>253</v>
      </c>
      <c r="F86" s="3">
        <v>0</v>
      </c>
      <c r="G86" s="3">
        <v>0</v>
      </c>
      <c r="H86" s="3">
        <v>144</v>
      </c>
      <c r="I86" s="3">
        <v>1</v>
      </c>
      <c r="J86" s="3">
        <v>1.4</v>
      </c>
      <c r="K86" s="3">
        <v>1</v>
      </c>
      <c r="L86" s="3">
        <v>1</v>
      </c>
      <c r="M86" s="3">
        <v>7</v>
      </c>
      <c r="N86" s="3">
        <v>1</v>
      </c>
      <c r="O86" s="7">
        <f t="shared" si="7"/>
        <v>1.8981538619999991</v>
      </c>
      <c r="P86" s="7">
        <f t="shared" si="8"/>
        <v>0.86968243653807342</v>
      </c>
      <c r="Q86" s="7">
        <f t="shared" si="9"/>
        <v>1</v>
      </c>
      <c r="R86" s="3">
        <f t="shared" si="10"/>
        <v>0</v>
      </c>
      <c r="S86" s="3">
        <f t="shared" si="11"/>
        <v>0.86968243653807342</v>
      </c>
      <c r="T86" s="3">
        <f t="shared" si="12"/>
        <v>0.13962714944134996</v>
      </c>
    </row>
    <row r="87" spans="1:20" x14ac:dyDescent="0.25">
      <c r="A87" s="3">
        <v>54</v>
      </c>
      <c r="B87" s="3">
        <v>1</v>
      </c>
      <c r="C87" s="3">
        <v>4</v>
      </c>
      <c r="D87" s="3">
        <v>124</v>
      </c>
      <c r="E87" s="3">
        <v>266</v>
      </c>
      <c r="F87" s="3">
        <v>0</v>
      </c>
      <c r="G87" s="3">
        <v>2</v>
      </c>
      <c r="H87" s="3">
        <v>109</v>
      </c>
      <c r="I87" s="3">
        <v>1</v>
      </c>
      <c r="J87" s="3">
        <v>2.2000000000000002</v>
      </c>
      <c r="K87" s="3">
        <v>2</v>
      </c>
      <c r="L87" s="3">
        <v>1</v>
      </c>
      <c r="M87" s="3">
        <v>7</v>
      </c>
      <c r="N87" s="3">
        <v>1</v>
      </c>
      <c r="O87" s="7">
        <f t="shared" si="7"/>
        <v>4.0654833880000005</v>
      </c>
      <c r="P87" s="7">
        <f t="shared" si="8"/>
        <v>0.98313462545913854</v>
      </c>
      <c r="Q87" s="7">
        <f t="shared" si="9"/>
        <v>1</v>
      </c>
      <c r="R87" s="3">
        <f t="shared" si="10"/>
        <v>0</v>
      </c>
      <c r="S87" s="3">
        <f t="shared" si="11"/>
        <v>0.98313462545913854</v>
      </c>
      <c r="T87" s="3">
        <f t="shared" si="12"/>
        <v>1.7009214540713437E-2</v>
      </c>
    </row>
    <row r="88" spans="1:20" x14ac:dyDescent="0.25">
      <c r="A88" s="3">
        <v>50</v>
      </c>
      <c r="B88" s="3">
        <v>1</v>
      </c>
      <c r="C88" s="3">
        <v>3</v>
      </c>
      <c r="D88" s="3">
        <v>140</v>
      </c>
      <c r="E88" s="3">
        <v>233</v>
      </c>
      <c r="F88" s="3">
        <v>0</v>
      </c>
      <c r="G88" s="3">
        <v>0</v>
      </c>
      <c r="H88" s="3">
        <v>163</v>
      </c>
      <c r="I88" s="3">
        <v>0</v>
      </c>
      <c r="J88" s="3">
        <v>0.6</v>
      </c>
      <c r="K88" s="3">
        <v>2</v>
      </c>
      <c r="L88" s="3">
        <v>1</v>
      </c>
      <c r="M88" s="3">
        <v>7</v>
      </c>
      <c r="N88" s="3">
        <v>1</v>
      </c>
      <c r="O88" s="7">
        <f t="shared" si="7"/>
        <v>0.98077528199999975</v>
      </c>
      <c r="P88" s="7">
        <f t="shared" si="8"/>
        <v>0.72726202214735791</v>
      </c>
      <c r="Q88" s="7">
        <f t="shared" si="9"/>
        <v>1</v>
      </c>
      <c r="R88" s="3">
        <f t="shared" si="10"/>
        <v>0</v>
      </c>
      <c r="S88" s="3">
        <f t="shared" si="11"/>
        <v>0.72726202214735791</v>
      </c>
      <c r="T88" s="3">
        <f t="shared" si="12"/>
        <v>0.31846845077425107</v>
      </c>
    </row>
    <row r="89" spans="1:20" x14ac:dyDescent="0.25">
      <c r="A89" s="3">
        <v>54</v>
      </c>
      <c r="B89" s="3">
        <v>1</v>
      </c>
      <c r="C89" s="3">
        <v>3</v>
      </c>
      <c r="D89" s="3">
        <v>125</v>
      </c>
      <c r="E89" s="3">
        <v>273</v>
      </c>
      <c r="F89" s="3">
        <v>0</v>
      </c>
      <c r="G89" s="3">
        <v>2</v>
      </c>
      <c r="H89" s="3">
        <v>152</v>
      </c>
      <c r="I89" s="3">
        <v>0</v>
      </c>
      <c r="J89" s="3">
        <v>0.5</v>
      </c>
      <c r="K89" s="3">
        <v>3</v>
      </c>
      <c r="L89" s="3">
        <v>1</v>
      </c>
      <c r="M89" s="3">
        <v>3</v>
      </c>
      <c r="N89" s="3">
        <v>0</v>
      </c>
      <c r="O89" s="7">
        <f t="shared" si="7"/>
        <v>0.90264680149999954</v>
      </c>
      <c r="P89" s="7">
        <f t="shared" si="8"/>
        <v>0.71149311730675247</v>
      </c>
      <c r="Q89" s="7">
        <f t="shared" si="9"/>
        <v>1</v>
      </c>
      <c r="R89" s="3">
        <f t="shared" si="10"/>
        <v>1</v>
      </c>
      <c r="S89" s="3">
        <f t="shared" si="11"/>
        <v>0.28850688269324753</v>
      </c>
      <c r="T89" s="3">
        <f t="shared" si="12"/>
        <v>1.2430363364962038</v>
      </c>
    </row>
    <row r="90" spans="1:20" x14ac:dyDescent="0.25">
      <c r="A90" s="3">
        <v>60</v>
      </c>
      <c r="B90" s="3">
        <v>1</v>
      </c>
      <c r="C90" s="3">
        <v>3</v>
      </c>
      <c r="D90" s="3">
        <v>140</v>
      </c>
      <c r="E90" s="3">
        <v>185</v>
      </c>
      <c r="F90" s="3">
        <v>0</v>
      </c>
      <c r="G90" s="3">
        <v>2</v>
      </c>
      <c r="H90" s="3">
        <v>155</v>
      </c>
      <c r="I90" s="3">
        <v>0</v>
      </c>
      <c r="J90" s="3">
        <v>3</v>
      </c>
      <c r="K90" s="3">
        <v>2</v>
      </c>
      <c r="L90" s="3">
        <v>0</v>
      </c>
      <c r="M90" s="3">
        <v>3</v>
      </c>
      <c r="N90" s="3">
        <v>1</v>
      </c>
      <c r="O90" s="7">
        <f t="shared" si="7"/>
        <v>-0.67434649299999982</v>
      </c>
      <c r="P90" s="7">
        <f t="shared" si="8"/>
        <v>0.33752427254656725</v>
      </c>
      <c r="Q90" s="7">
        <f t="shared" si="9"/>
        <v>0</v>
      </c>
      <c r="R90" s="3">
        <f t="shared" si="10"/>
        <v>1</v>
      </c>
      <c r="S90" s="3">
        <f t="shared" si="11"/>
        <v>0.33752427254656725</v>
      </c>
      <c r="T90" s="3">
        <f t="shared" si="12"/>
        <v>1.0861178525990796</v>
      </c>
    </row>
    <row r="91" spans="1:20" x14ac:dyDescent="0.25">
      <c r="A91" s="3">
        <v>54</v>
      </c>
      <c r="B91" s="3">
        <v>1</v>
      </c>
      <c r="C91" s="3">
        <v>3</v>
      </c>
      <c r="D91" s="3">
        <v>150</v>
      </c>
      <c r="E91" s="3">
        <v>232</v>
      </c>
      <c r="F91" s="3">
        <v>0</v>
      </c>
      <c r="G91" s="3">
        <v>2</v>
      </c>
      <c r="H91" s="3">
        <v>165</v>
      </c>
      <c r="I91" s="3">
        <v>0</v>
      </c>
      <c r="J91" s="3">
        <v>1.6</v>
      </c>
      <c r="K91" s="3">
        <v>1</v>
      </c>
      <c r="L91" s="3">
        <v>0</v>
      </c>
      <c r="M91" s="3">
        <v>7</v>
      </c>
      <c r="N91" s="3">
        <v>0</v>
      </c>
      <c r="O91" s="7">
        <f t="shared" si="7"/>
        <v>-0.35624682800000151</v>
      </c>
      <c r="P91" s="7">
        <f t="shared" si="8"/>
        <v>0.41186840570013777</v>
      </c>
      <c r="Q91" s="7">
        <f t="shared" si="9"/>
        <v>0</v>
      </c>
      <c r="R91" s="3">
        <f t="shared" si="10"/>
        <v>0</v>
      </c>
      <c r="S91" s="3">
        <f t="shared" si="11"/>
        <v>0.58813159429986217</v>
      </c>
      <c r="T91" s="3">
        <f t="shared" si="12"/>
        <v>0.53080455629325862</v>
      </c>
    </row>
    <row r="92" spans="1:20" x14ac:dyDescent="0.25">
      <c r="A92" s="3">
        <v>51</v>
      </c>
      <c r="B92" s="3">
        <v>0</v>
      </c>
      <c r="C92" s="3">
        <v>3</v>
      </c>
      <c r="D92" s="3">
        <v>140</v>
      </c>
      <c r="E92" s="3">
        <v>308</v>
      </c>
      <c r="F92" s="3">
        <v>0</v>
      </c>
      <c r="G92" s="3">
        <v>2</v>
      </c>
      <c r="H92" s="3">
        <v>142</v>
      </c>
      <c r="I92" s="3">
        <v>0</v>
      </c>
      <c r="J92" s="3">
        <v>1.5</v>
      </c>
      <c r="K92" s="3">
        <v>1</v>
      </c>
      <c r="L92" s="3">
        <v>1</v>
      </c>
      <c r="M92" s="3">
        <v>3</v>
      </c>
      <c r="N92" s="3">
        <v>0</v>
      </c>
      <c r="O92" s="7">
        <f t="shared" si="7"/>
        <v>-0.70196654250000101</v>
      </c>
      <c r="P92" s="7">
        <f t="shared" si="8"/>
        <v>0.3313763643453248</v>
      </c>
      <c r="Q92" s="7">
        <f t="shared" si="9"/>
        <v>0</v>
      </c>
      <c r="R92" s="3">
        <f t="shared" si="10"/>
        <v>0</v>
      </c>
      <c r="S92" s="3">
        <f t="shared" si="11"/>
        <v>0.6686236356546752</v>
      </c>
      <c r="T92" s="3">
        <f t="shared" si="12"/>
        <v>0.40253395465675285</v>
      </c>
    </row>
    <row r="93" spans="1:20" x14ac:dyDescent="0.25">
      <c r="A93" s="3">
        <v>48</v>
      </c>
      <c r="B93" s="3">
        <v>1</v>
      </c>
      <c r="C93" s="3">
        <v>2</v>
      </c>
      <c r="D93" s="3">
        <v>130</v>
      </c>
      <c r="E93" s="3">
        <v>245</v>
      </c>
      <c r="F93" s="3">
        <v>0</v>
      </c>
      <c r="G93" s="3">
        <v>2</v>
      </c>
      <c r="H93" s="3">
        <v>180</v>
      </c>
      <c r="I93" s="3">
        <v>0</v>
      </c>
      <c r="J93" s="3">
        <v>0.2</v>
      </c>
      <c r="K93" s="3">
        <v>2</v>
      </c>
      <c r="L93" s="3">
        <v>0</v>
      </c>
      <c r="M93" s="3">
        <v>3</v>
      </c>
      <c r="N93" s="3">
        <v>0</v>
      </c>
      <c r="O93" s="7">
        <f t="shared" si="7"/>
        <v>-2.6980796440000017</v>
      </c>
      <c r="P93" s="7">
        <f t="shared" si="8"/>
        <v>6.3086767016636305E-2</v>
      </c>
      <c r="Q93" s="7">
        <f t="shared" si="9"/>
        <v>0</v>
      </c>
      <c r="R93" s="3">
        <f t="shared" si="10"/>
        <v>0</v>
      </c>
      <c r="S93" s="3">
        <f t="shared" si="11"/>
        <v>0.93691323298336371</v>
      </c>
      <c r="T93" s="3">
        <f t="shared" si="12"/>
        <v>6.5164601902983801E-2</v>
      </c>
    </row>
    <row r="94" spans="1:20" x14ac:dyDescent="0.25">
      <c r="A94" s="3">
        <v>39</v>
      </c>
      <c r="B94" s="3">
        <v>1</v>
      </c>
      <c r="C94" s="3">
        <v>3</v>
      </c>
      <c r="D94" s="3">
        <v>140</v>
      </c>
      <c r="E94" s="3">
        <v>321</v>
      </c>
      <c r="F94" s="3">
        <v>0</v>
      </c>
      <c r="G94" s="3">
        <v>2</v>
      </c>
      <c r="H94" s="3">
        <v>182</v>
      </c>
      <c r="I94" s="3">
        <v>0</v>
      </c>
      <c r="J94" s="3">
        <v>0</v>
      </c>
      <c r="K94" s="3">
        <v>1</v>
      </c>
      <c r="L94" s="3">
        <v>0</v>
      </c>
      <c r="M94" s="3">
        <v>3</v>
      </c>
      <c r="N94" s="3">
        <v>0</v>
      </c>
      <c r="O94" s="7">
        <f t="shared" si="7"/>
        <v>-2.2127474059999992</v>
      </c>
      <c r="P94" s="7">
        <f t="shared" si="8"/>
        <v>9.8611594093929597E-2</v>
      </c>
      <c r="Q94" s="7">
        <f t="shared" si="9"/>
        <v>0</v>
      </c>
      <c r="R94" s="3">
        <f t="shared" si="10"/>
        <v>0</v>
      </c>
      <c r="S94" s="3">
        <f t="shared" si="11"/>
        <v>0.90138840590607039</v>
      </c>
      <c r="T94" s="3">
        <f t="shared" si="12"/>
        <v>0.10381903112684687</v>
      </c>
    </row>
    <row r="95" spans="1:20" x14ac:dyDescent="0.25">
      <c r="A95" s="3">
        <v>52</v>
      </c>
      <c r="B95" s="3">
        <v>1</v>
      </c>
      <c r="C95" s="3">
        <v>2</v>
      </c>
      <c r="D95" s="3">
        <v>120</v>
      </c>
      <c r="E95" s="3">
        <v>325</v>
      </c>
      <c r="F95" s="3">
        <v>0</v>
      </c>
      <c r="G95" s="3">
        <v>0</v>
      </c>
      <c r="H95" s="3">
        <v>172</v>
      </c>
      <c r="I95" s="3">
        <v>0</v>
      </c>
      <c r="J95" s="3">
        <v>0.2</v>
      </c>
      <c r="K95" s="3">
        <v>1</v>
      </c>
      <c r="L95" s="3">
        <v>0</v>
      </c>
      <c r="M95" s="3">
        <v>3</v>
      </c>
      <c r="N95" s="3">
        <v>0</v>
      </c>
      <c r="O95" s="7">
        <f t="shared" si="7"/>
        <v>-4.0227535330000013</v>
      </c>
      <c r="P95" s="7">
        <f t="shared" si="8"/>
        <v>1.7588697863921626E-2</v>
      </c>
      <c r="Q95" s="7">
        <f t="shared" si="9"/>
        <v>0</v>
      </c>
      <c r="R95" s="3">
        <f t="shared" si="10"/>
        <v>0</v>
      </c>
      <c r="S95" s="3">
        <f t="shared" si="11"/>
        <v>0.98241130213607841</v>
      </c>
      <c r="T95" s="3">
        <f t="shared" si="12"/>
        <v>1.7745217038092977E-2</v>
      </c>
    </row>
    <row r="96" spans="1:20" x14ac:dyDescent="0.25">
      <c r="A96" s="3">
        <v>44</v>
      </c>
      <c r="B96" s="3">
        <v>1</v>
      </c>
      <c r="C96" s="3">
        <v>3</v>
      </c>
      <c r="D96" s="3">
        <v>140</v>
      </c>
      <c r="E96" s="3">
        <v>235</v>
      </c>
      <c r="F96" s="3">
        <v>0</v>
      </c>
      <c r="G96" s="3">
        <v>2</v>
      </c>
      <c r="H96" s="3">
        <v>180</v>
      </c>
      <c r="I96" s="3">
        <v>0</v>
      </c>
      <c r="J96" s="3">
        <v>0</v>
      </c>
      <c r="K96" s="3">
        <v>1</v>
      </c>
      <c r="L96" s="3">
        <v>0</v>
      </c>
      <c r="M96" s="3">
        <v>3</v>
      </c>
      <c r="N96" s="3">
        <v>0</v>
      </c>
      <c r="O96" s="7">
        <f t="shared" si="7"/>
        <v>-2.4380660330000001</v>
      </c>
      <c r="P96" s="7">
        <f t="shared" si="8"/>
        <v>8.0315648835532744E-2</v>
      </c>
      <c r="Q96" s="7">
        <f t="shared" si="9"/>
        <v>0</v>
      </c>
      <c r="R96" s="3">
        <f t="shared" si="10"/>
        <v>0</v>
      </c>
      <c r="S96" s="3">
        <f t="shared" si="11"/>
        <v>0.91968435116446723</v>
      </c>
      <c r="T96" s="3">
        <f t="shared" si="12"/>
        <v>8.3724764370503663E-2</v>
      </c>
    </row>
    <row r="97" spans="1:20" x14ac:dyDescent="0.25">
      <c r="A97" s="3">
        <v>59</v>
      </c>
      <c r="B97" s="3">
        <v>1</v>
      </c>
      <c r="C97" s="3">
        <v>4</v>
      </c>
      <c r="D97" s="3">
        <v>110</v>
      </c>
      <c r="E97" s="3">
        <v>239</v>
      </c>
      <c r="F97" s="3">
        <v>0</v>
      </c>
      <c r="G97" s="3">
        <v>2</v>
      </c>
      <c r="H97" s="3">
        <v>142</v>
      </c>
      <c r="I97" s="3">
        <v>1</v>
      </c>
      <c r="J97" s="3">
        <v>1.2</v>
      </c>
      <c r="K97" s="3">
        <v>2</v>
      </c>
      <c r="L97" s="3">
        <v>1</v>
      </c>
      <c r="M97" s="3">
        <v>7</v>
      </c>
      <c r="N97" s="3">
        <v>1</v>
      </c>
      <c r="O97" s="7">
        <f t="shared" si="7"/>
        <v>2.5887273509999993</v>
      </c>
      <c r="P97" s="7">
        <f t="shared" si="8"/>
        <v>0.93013255803713879</v>
      </c>
      <c r="Q97" s="7">
        <f t="shared" si="9"/>
        <v>1</v>
      </c>
      <c r="R97" s="3">
        <f t="shared" si="10"/>
        <v>0</v>
      </c>
      <c r="S97" s="3">
        <f t="shared" si="11"/>
        <v>0.93013255803713879</v>
      </c>
      <c r="T97" s="3">
        <f t="shared" si="12"/>
        <v>7.2428167468252883E-2</v>
      </c>
    </row>
    <row r="98" spans="1:20" x14ac:dyDescent="0.25">
      <c r="A98" s="3">
        <v>52</v>
      </c>
      <c r="B98" s="3">
        <v>1</v>
      </c>
      <c r="C98" s="3">
        <v>2</v>
      </c>
      <c r="D98" s="3">
        <v>134</v>
      </c>
      <c r="E98" s="3">
        <v>201</v>
      </c>
      <c r="F98" s="3">
        <v>0</v>
      </c>
      <c r="G98" s="3">
        <v>0</v>
      </c>
      <c r="H98" s="3">
        <v>158</v>
      </c>
      <c r="I98" s="3">
        <v>0</v>
      </c>
      <c r="J98" s="3">
        <v>0.8</v>
      </c>
      <c r="K98" s="3">
        <v>1</v>
      </c>
      <c r="L98" s="3">
        <v>1</v>
      </c>
      <c r="M98" s="3">
        <v>3</v>
      </c>
      <c r="N98" s="3">
        <v>0</v>
      </c>
      <c r="O98" s="7">
        <f t="shared" si="7"/>
        <v>-2.058602113000001</v>
      </c>
      <c r="P98" s="7">
        <f t="shared" si="8"/>
        <v>0.11318606710147827</v>
      </c>
      <c r="Q98" s="7">
        <f t="shared" si="9"/>
        <v>0</v>
      </c>
      <c r="R98" s="3">
        <f t="shared" si="10"/>
        <v>0</v>
      </c>
      <c r="S98" s="3">
        <f t="shared" si="11"/>
        <v>0.88681393289852173</v>
      </c>
      <c r="T98" s="3">
        <f t="shared" si="12"/>
        <v>0.12012008993070011</v>
      </c>
    </row>
    <row r="99" spans="1:20" x14ac:dyDescent="0.25">
      <c r="A99" s="3">
        <v>71</v>
      </c>
      <c r="B99" s="3">
        <v>0</v>
      </c>
      <c r="C99" s="3">
        <v>3</v>
      </c>
      <c r="D99" s="3">
        <v>110</v>
      </c>
      <c r="E99" s="3">
        <v>265</v>
      </c>
      <c r="F99" s="3">
        <v>1</v>
      </c>
      <c r="G99" s="3">
        <v>2</v>
      </c>
      <c r="H99" s="3">
        <v>130</v>
      </c>
      <c r="I99" s="3">
        <v>0</v>
      </c>
      <c r="J99" s="3">
        <v>0</v>
      </c>
      <c r="K99" s="3">
        <v>1</v>
      </c>
      <c r="L99" s="3">
        <v>1</v>
      </c>
      <c r="M99" s="3">
        <v>3</v>
      </c>
      <c r="N99" s="3">
        <v>0</v>
      </c>
      <c r="O99" s="7">
        <f t="shared" si="7"/>
        <v>-2.5469160570000025</v>
      </c>
      <c r="P99" s="7">
        <f t="shared" si="8"/>
        <v>7.2633940784532378E-2</v>
      </c>
      <c r="Q99" s="7">
        <f t="shared" si="9"/>
        <v>0</v>
      </c>
      <c r="R99" s="3">
        <f t="shared" si="10"/>
        <v>0</v>
      </c>
      <c r="S99" s="3">
        <f t="shared" si="11"/>
        <v>0.92736605921546766</v>
      </c>
      <c r="T99" s="3">
        <f t="shared" si="12"/>
        <v>7.540690547811521E-2</v>
      </c>
    </row>
    <row r="100" spans="1:20" x14ac:dyDescent="0.25">
      <c r="A100" s="3">
        <v>59</v>
      </c>
      <c r="B100" s="3">
        <v>1</v>
      </c>
      <c r="C100" s="3">
        <v>4</v>
      </c>
      <c r="D100" s="3">
        <v>140</v>
      </c>
      <c r="E100" s="3">
        <v>177</v>
      </c>
      <c r="F100" s="3">
        <v>0</v>
      </c>
      <c r="G100" s="3">
        <v>0</v>
      </c>
      <c r="H100" s="3">
        <v>162</v>
      </c>
      <c r="I100" s="3">
        <v>1</v>
      </c>
      <c r="J100" s="3">
        <v>0</v>
      </c>
      <c r="K100" s="3">
        <v>1</v>
      </c>
      <c r="L100" s="3">
        <v>1</v>
      </c>
      <c r="M100" s="3">
        <v>7</v>
      </c>
      <c r="N100" s="3">
        <v>1</v>
      </c>
      <c r="O100" s="7">
        <f t="shared" si="7"/>
        <v>1.3347131139999995</v>
      </c>
      <c r="P100" s="7">
        <f t="shared" si="8"/>
        <v>0.79161917047385089</v>
      </c>
      <c r="Q100" s="7">
        <f t="shared" si="9"/>
        <v>1</v>
      </c>
      <c r="R100" s="3">
        <f t="shared" si="10"/>
        <v>0</v>
      </c>
      <c r="S100" s="3">
        <f t="shared" si="11"/>
        <v>0.79161917047385089</v>
      </c>
      <c r="T100" s="3">
        <f t="shared" si="12"/>
        <v>0.23367484817221382</v>
      </c>
    </row>
    <row r="101" spans="1:20" x14ac:dyDescent="0.25">
      <c r="A101" s="3">
        <v>57</v>
      </c>
      <c r="B101" s="3">
        <v>1</v>
      </c>
      <c r="C101" s="3">
        <v>3</v>
      </c>
      <c r="D101" s="3">
        <v>128</v>
      </c>
      <c r="E101" s="3">
        <v>229</v>
      </c>
      <c r="F101" s="3">
        <v>0</v>
      </c>
      <c r="G101" s="3">
        <v>2</v>
      </c>
      <c r="H101" s="3">
        <v>150</v>
      </c>
      <c r="I101" s="3">
        <v>0</v>
      </c>
      <c r="J101" s="3">
        <v>0.4</v>
      </c>
      <c r="K101" s="3">
        <v>2</v>
      </c>
      <c r="L101" s="3">
        <v>1</v>
      </c>
      <c r="M101" s="3">
        <v>7</v>
      </c>
      <c r="N101" s="3">
        <v>1</v>
      </c>
      <c r="O101" s="7">
        <f t="shared" si="7"/>
        <v>1.2278876679999993</v>
      </c>
      <c r="P101" s="7">
        <f t="shared" si="8"/>
        <v>0.77344865294204823</v>
      </c>
      <c r="Q101" s="7">
        <f t="shared" si="9"/>
        <v>1</v>
      </c>
      <c r="R101" s="3">
        <f t="shared" si="10"/>
        <v>0</v>
      </c>
      <c r="S101" s="3">
        <f t="shared" si="11"/>
        <v>0.77344865294204823</v>
      </c>
      <c r="T101" s="3">
        <f t="shared" si="12"/>
        <v>0.25689599392351742</v>
      </c>
    </row>
    <row r="102" spans="1:20" x14ac:dyDescent="0.25">
      <c r="A102" s="3">
        <v>56</v>
      </c>
      <c r="B102" s="3">
        <v>1</v>
      </c>
      <c r="C102" s="3">
        <v>4</v>
      </c>
      <c r="D102" s="3">
        <v>125</v>
      </c>
      <c r="E102" s="3">
        <v>249</v>
      </c>
      <c r="F102" s="3">
        <v>1</v>
      </c>
      <c r="G102" s="3">
        <v>2</v>
      </c>
      <c r="H102" s="3">
        <v>144</v>
      </c>
      <c r="I102" s="3">
        <v>1</v>
      </c>
      <c r="J102" s="3">
        <v>1.2</v>
      </c>
      <c r="K102" s="3">
        <v>2</v>
      </c>
      <c r="L102" s="3">
        <v>1</v>
      </c>
      <c r="M102" s="3">
        <v>3</v>
      </c>
      <c r="N102" s="3">
        <v>1</v>
      </c>
      <c r="O102" s="7">
        <f t="shared" si="7"/>
        <v>1.3570174409999982</v>
      </c>
      <c r="P102" s="7">
        <f t="shared" si="8"/>
        <v>0.79527452611148342</v>
      </c>
      <c r="Q102" s="7">
        <f t="shared" si="9"/>
        <v>1</v>
      </c>
      <c r="R102" s="3">
        <f t="shared" si="10"/>
        <v>0</v>
      </c>
      <c r="S102" s="3">
        <f t="shared" si="11"/>
        <v>0.79527452611148342</v>
      </c>
      <c r="T102" s="3">
        <f t="shared" si="12"/>
        <v>0.22906790807210484</v>
      </c>
    </row>
    <row r="103" spans="1:20" x14ac:dyDescent="0.25">
      <c r="A103" s="3">
        <v>58</v>
      </c>
      <c r="B103" s="3">
        <v>1</v>
      </c>
      <c r="C103" s="3">
        <v>3</v>
      </c>
      <c r="D103" s="3">
        <v>140</v>
      </c>
      <c r="E103" s="3">
        <v>211</v>
      </c>
      <c r="F103" s="3">
        <v>1</v>
      </c>
      <c r="G103" s="3">
        <v>2</v>
      </c>
      <c r="H103" s="3">
        <v>165</v>
      </c>
      <c r="I103" s="3">
        <v>0</v>
      </c>
      <c r="J103" s="3">
        <v>0</v>
      </c>
      <c r="K103" s="3">
        <v>1</v>
      </c>
      <c r="L103" s="3">
        <v>0</v>
      </c>
      <c r="M103" s="3">
        <v>3</v>
      </c>
      <c r="N103" s="3">
        <v>0</v>
      </c>
      <c r="O103" s="7">
        <f t="shared" si="7"/>
        <v>-2.8372960940000009</v>
      </c>
      <c r="P103" s="7">
        <f t="shared" si="8"/>
        <v>5.534172549784637E-2</v>
      </c>
      <c r="Q103" s="7">
        <f t="shared" si="9"/>
        <v>0</v>
      </c>
      <c r="R103" s="3">
        <f t="shared" si="10"/>
        <v>0</v>
      </c>
      <c r="S103" s="3">
        <f t="shared" si="11"/>
        <v>0.94465827450215367</v>
      </c>
      <c r="T103" s="3">
        <f t="shared" si="12"/>
        <v>5.6932031170040982E-2</v>
      </c>
    </row>
    <row r="104" spans="1:20" x14ac:dyDescent="0.25">
      <c r="A104" s="3">
        <v>51</v>
      </c>
      <c r="B104" s="3">
        <v>1</v>
      </c>
      <c r="C104" s="3">
        <v>3</v>
      </c>
      <c r="D104" s="3">
        <v>100</v>
      </c>
      <c r="E104" s="3">
        <v>222</v>
      </c>
      <c r="F104" s="3">
        <v>0</v>
      </c>
      <c r="G104" s="3">
        <v>0</v>
      </c>
      <c r="H104" s="3">
        <v>143</v>
      </c>
      <c r="I104" s="3">
        <v>1</v>
      </c>
      <c r="J104" s="3">
        <v>1.2</v>
      </c>
      <c r="K104" s="3">
        <v>2</v>
      </c>
      <c r="L104" s="3">
        <v>0</v>
      </c>
      <c r="M104" s="3">
        <v>3</v>
      </c>
      <c r="N104" s="3">
        <v>0</v>
      </c>
      <c r="O104" s="7">
        <f t="shared" si="7"/>
        <v>-1.6235124640000018</v>
      </c>
      <c r="P104" s="7">
        <f t="shared" si="8"/>
        <v>0.16472102795354643</v>
      </c>
      <c r="Q104" s="7">
        <f t="shared" si="9"/>
        <v>0</v>
      </c>
      <c r="R104" s="3">
        <f t="shared" si="10"/>
        <v>0</v>
      </c>
      <c r="S104" s="3">
        <f t="shared" si="11"/>
        <v>0.83527897204645352</v>
      </c>
      <c r="T104" s="3">
        <f t="shared" si="12"/>
        <v>0.17998951167045146</v>
      </c>
    </row>
    <row r="105" spans="1:20" x14ac:dyDescent="0.25">
      <c r="A105" s="3">
        <v>55</v>
      </c>
      <c r="B105" s="3">
        <v>1</v>
      </c>
      <c r="C105" s="3">
        <v>4</v>
      </c>
      <c r="D105" s="3">
        <v>140</v>
      </c>
      <c r="E105" s="3">
        <v>217</v>
      </c>
      <c r="F105" s="3">
        <v>0</v>
      </c>
      <c r="G105" s="3">
        <v>0</v>
      </c>
      <c r="H105" s="3">
        <v>111</v>
      </c>
      <c r="I105" s="3">
        <v>1</v>
      </c>
      <c r="J105" s="3">
        <v>5.6</v>
      </c>
      <c r="K105" s="3">
        <v>3</v>
      </c>
      <c r="L105" s="3">
        <v>0</v>
      </c>
      <c r="M105" s="3">
        <v>7</v>
      </c>
      <c r="N105" s="3">
        <v>1</v>
      </c>
      <c r="O105" s="7">
        <f t="shared" si="7"/>
        <v>4.1335185669999994</v>
      </c>
      <c r="P105" s="7">
        <f t="shared" si="8"/>
        <v>0.98422640421624608</v>
      </c>
      <c r="Q105" s="7">
        <f t="shared" si="9"/>
        <v>1</v>
      </c>
      <c r="R105" s="3">
        <f t="shared" si="10"/>
        <v>0</v>
      </c>
      <c r="S105" s="3">
        <f t="shared" si="11"/>
        <v>0.98422640421624608</v>
      </c>
      <c r="T105" s="3">
        <f t="shared" si="12"/>
        <v>1.5899322809896557E-2</v>
      </c>
    </row>
    <row r="106" spans="1:20" x14ac:dyDescent="0.25">
      <c r="A106" s="3">
        <v>56</v>
      </c>
      <c r="B106" s="3">
        <v>0</v>
      </c>
      <c r="C106" s="3">
        <v>4</v>
      </c>
      <c r="D106" s="3">
        <v>200</v>
      </c>
      <c r="E106" s="3">
        <v>288</v>
      </c>
      <c r="F106" s="3">
        <v>1</v>
      </c>
      <c r="G106" s="3">
        <v>2</v>
      </c>
      <c r="H106" s="3">
        <v>133</v>
      </c>
      <c r="I106" s="3">
        <v>1</v>
      </c>
      <c r="J106" s="3">
        <v>4</v>
      </c>
      <c r="K106" s="3">
        <v>3</v>
      </c>
      <c r="L106" s="3">
        <v>2</v>
      </c>
      <c r="M106" s="3">
        <v>7</v>
      </c>
      <c r="N106" s="3">
        <v>1</v>
      </c>
      <c r="O106" s="7">
        <f t="shared" si="7"/>
        <v>7.2046320030000004</v>
      </c>
      <c r="P106" s="7">
        <f t="shared" si="8"/>
        <v>0.99925741622296516</v>
      </c>
      <c r="Q106" s="7">
        <f t="shared" si="9"/>
        <v>1</v>
      </c>
      <c r="R106" s="3">
        <f t="shared" si="10"/>
        <v>0</v>
      </c>
      <c r="S106" s="3">
        <f t="shared" si="11"/>
        <v>0.99925741622296516</v>
      </c>
      <c r="T106" s="3">
        <f t="shared" si="12"/>
        <v>7.4285962893835497E-4</v>
      </c>
    </row>
    <row r="107" spans="1:20" x14ac:dyDescent="0.25">
      <c r="A107" s="3">
        <v>54</v>
      </c>
      <c r="B107" s="3">
        <v>1</v>
      </c>
      <c r="C107" s="3">
        <v>4</v>
      </c>
      <c r="D107" s="3">
        <v>110</v>
      </c>
      <c r="E107" s="3">
        <v>239</v>
      </c>
      <c r="F107" s="3">
        <v>0</v>
      </c>
      <c r="G107" s="3">
        <v>0</v>
      </c>
      <c r="H107" s="3">
        <v>126</v>
      </c>
      <c r="I107" s="3">
        <v>1</v>
      </c>
      <c r="J107" s="3">
        <v>2.8</v>
      </c>
      <c r="K107" s="3">
        <v>2</v>
      </c>
      <c r="L107" s="3">
        <v>1</v>
      </c>
      <c r="M107" s="3">
        <v>7</v>
      </c>
      <c r="N107" s="3">
        <v>1</v>
      </c>
      <c r="O107" s="7">
        <f t="shared" si="7"/>
        <v>2.8666429900000008</v>
      </c>
      <c r="P107" s="7">
        <f t="shared" si="8"/>
        <v>0.94617263139127816</v>
      </c>
      <c r="Q107" s="7">
        <f t="shared" si="9"/>
        <v>1</v>
      </c>
      <c r="R107" s="3">
        <f t="shared" si="10"/>
        <v>0</v>
      </c>
      <c r="S107" s="3">
        <f t="shared" si="11"/>
        <v>0.94617263139127816</v>
      </c>
      <c r="T107" s="3">
        <f t="shared" si="12"/>
        <v>5.5330240964274198E-2</v>
      </c>
    </row>
    <row r="108" spans="1:20" x14ac:dyDescent="0.25">
      <c r="A108" s="3">
        <v>62</v>
      </c>
      <c r="B108" s="3">
        <v>1</v>
      </c>
      <c r="C108" s="3">
        <v>2</v>
      </c>
      <c r="D108" s="3">
        <v>120</v>
      </c>
      <c r="E108" s="3">
        <v>281</v>
      </c>
      <c r="F108" s="3">
        <v>0</v>
      </c>
      <c r="G108" s="3">
        <v>2</v>
      </c>
      <c r="H108" s="3">
        <v>103</v>
      </c>
      <c r="I108" s="3">
        <v>0</v>
      </c>
      <c r="J108" s="3">
        <v>1.4</v>
      </c>
      <c r="K108" s="3">
        <v>2</v>
      </c>
      <c r="L108" s="3">
        <v>1</v>
      </c>
      <c r="M108" s="3">
        <v>7</v>
      </c>
      <c r="N108" s="3">
        <v>1</v>
      </c>
      <c r="O108" s="7">
        <f t="shared" si="7"/>
        <v>1.4349141969999994</v>
      </c>
      <c r="P108" s="7">
        <f t="shared" si="8"/>
        <v>0.807665849988629</v>
      </c>
      <c r="Q108" s="7">
        <f t="shared" si="9"/>
        <v>1</v>
      </c>
      <c r="R108" s="3">
        <f t="shared" si="10"/>
        <v>0</v>
      </c>
      <c r="S108" s="3">
        <f t="shared" si="11"/>
        <v>0.807665849988629</v>
      </c>
      <c r="T108" s="3">
        <f t="shared" si="12"/>
        <v>0.21360685799152196</v>
      </c>
    </row>
    <row r="109" spans="1:20" x14ac:dyDescent="0.25">
      <c r="A109" s="3">
        <v>58</v>
      </c>
      <c r="B109" s="3">
        <v>1</v>
      </c>
      <c r="C109" s="3">
        <v>3</v>
      </c>
      <c r="D109" s="3">
        <v>105</v>
      </c>
      <c r="E109" s="3">
        <v>240</v>
      </c>
      <c r="F109" s="3">
        <v>0</v>
      </c>
      <c r="G109" s="3">
        <v>2</v>
      </c>
      <c r="H109" s="3">
        <v>154</v>
      </c>
      <c r="I109" s="3">
        <v>1</v>
      </c>
      <c r="J109" s="3">
        <v>0.6</v>
      </c>
      <c r="K109" s="3">
        <v>2</v>
      </c>
      <c r="L109" s="3">
        <v>0</v>
      </c>
      <c r="M109" s="3">
        <v>7</v>
      </c>
      <c r="N109" s="3">
        <v>0</v>
      </c>
      <c r="O109" s="7">
        <f t="shared" si="7"/>
        <v>-0.17998102400000171</v>
      </c>
      <c r="P109" s="7">
        <f t="shared" si="8"/>
        <v>0.45512581341058106</v>
      </c>
      <c r="Q109" s="7">
        <f t="shared" si="9"/>
        <v>0</v>
      </c>
      <c r="R109" s="3">
        <f t="shared" si="10"/>
        <v>0</v>
      </c>
      <c r="S109" s="3">
        <f t="shared" si="11"/>
        <v>0.54487418658941889</v>
      </c>
      <c r="T109" s="3">
        <f t="shared" si="12"/>
        <v>0.60720036126356802</v>
      </c>
    </row>
    <row r="110" spans="1:20" x14ac:dyDescent="0.25">
      <c r="A110" s="3">
        <v>45</v>
      </c>
      <c r="B110" s="3">
        <v>1</v>
      </c>
      <c r="C110" s="3">
        <v>2</v>
      </c>
      <c r="D110" s="3">
        <v>128</v>
      </c>
      <c r="E110" s="3">
        <v>308</v>
      </c>
      <c r="F110" s="3">
        <v>0</v>
      </c>
      <c r="G110" s="3">
        <v>2</v>
      </c>
      <c r="H110" s="3">
        <v>170</v>
      </c>
      <c r="I110" s="3">
        <v>0</v>
      </c>
      <c r="J110" s="3">
        <v>0</v>
      </c>
      <c r="K110" s="3">
        <v>1</v>
      </c>
      <c r="L110" s="3">
        <v>0</v>
      </c>
      <c r="M110" s="3">
        <v>3</v>
      </c>
      <c r="N110" s="3">
        <v>0</v>
      </c>
      <c r="O110" s="7">
        <f t="shared" si="7"/>
        <v>-3.2640591640000016</v>
      </c>
      <c r="P110" s="7">
        <f t="shared" si="8"/>
        <v>3.6824964272866488E-2</v>
      </c>
      <c r="Q110" s="7">
        <f t="shared" si="9"/>
        <v>0</v>
      </c>
      <c r="R110" s="3">
        <f t="shared" si="10"/>
        <v>0</v>
      </c>
      <c r="S110" s="3">
        <f t="shared" si="11"/>
        <v>0.96317503572713348</v>
      </c>
      <c r="T110" s="3">
        <f t="shared" si="12"/>
        <v>3.7520122820837144E-2</v>
      </c>
    </row>
    <row r="111" spans="1:20" x14ac:dyDescent="0.25">
      <c r="A111" s="3">
        <v>68</v>
      </c>
      <c r="B111" s="3">
        <v>1</v>
      </c>
      <c r="C111" s="3">
        <v>3</v>
      </c>
      <c r="D111" s="3">
        <v>118</v>
      </c>
      <c r="E111" s="3">
        <v>277</v>
      </c>
      <c r="F111" s="3">
        <v>0</v>
      </c>
      <c r="G111" s="3">
        <v>0</v>
      </c>
      <c r="H111" s="3">
        <v>151</v>
      </c>
      <c r="I111" s="3">
        <v>0</v>
      </c>
      <c r="J111" s="3">
        <v>1</v>
      </c>
      <c r="K111" s="3">
        <v>1</v>
      </c>
      <c r="L111" s="3">
        <v>1</v>
      </c>
      <c r="M111" s="3">
        <v>7</v>
      </c>
      <c r="N111" s="3">
        <v>0</v>
      </c>
      <c r="O111" s="7">
        <f t="shared" si="7"/>
        <v>-0.30658778500000139</v>
      </c>
      <c r="P111" s="7">
        <f t="shared" si="8"/>
        <v>0.42394783959825161</v>
      </c>
      <c r="Q111" s="7">
        <f t="shared" si="9"/>
        <v>0</v>
      </c>
      <c r="R111" s="3">
        <f t="shared" si="10"/>
        <v>0</v>
      </c>
      <c r="S111" s="3">
        <f t="shared" si="11"/>
        <v>0.57605216040174834</v>
      </c>
      <c r="T111" s="3">
        <f t="shared" si="12"/>
        <v>0.55155706613318045</v>
      </c>
    </row>
    <row r="112" spans="1:20" x14ac:dyDescent="0.25">
      <c r="A112" s="3">
        <v>58</v>
      </c>
      <c r="B112" s="3">
        <v>0</v>
      </c>
      <c r="C112" s="3">
        <v>4</v>
      </c>
      <c r="D112" s="3">
        <v>100</v>
      </c>
      <c r="E112" s="3">
        <v>248</v>
      </c>
      <c r="F112" s="3">
        <v>0</v>
      </c>
      <c r="G112" s="3">
        <v>2</v>
      </c>
      <c r="H112" s="3">
        <v>122</v>
      </c>
      <c r="I112" s="3">
        <v>0</v>
      </c>
      <c r="J112" s="3">
        <v>1</v>
      </c>
      <c r="K112" s="3">
        <v>2</v>
      </c>
      <c r="L112" s="3">
        <v>0</v>
      </c>
      <c r="M112" s="3">
        <v>3</v>
      </c>
      <c r="N112" s="3">
        <v>0</v>
      </c>
      <c r="O112" s="7">
        <f t="shared" si="7"/>
        <v>-1.5719872300000022</v>
      </c>
      <c r="P112" s="7">
        <f t="shared" si="8"/>
        <v>0.17193328089234591</v>
      </c>
      <c r="Q112" s="7">
        <f t="shared" si="9"/>
        <v>0</v>
      </c>
      <c r="R112" s="3">
        <f t="shared" si="10"/>
        <v>0</v>
      </c>
      <c r="S112" s="3">
        <f t="shared" si="11"/>
        <v>0.82806671910765406</v>
      </c>
      <c r="T112" s="3">
        <f t="shared" si="12"/>
        <v>0.18866154921072853</v>
      </c>
    </row>
    <row r="113" spans="1:20" x14ac:dyDescent="0.25">
      <c r="A113" s="3">
        <v>54</v>
      </c>
      <c r="B113" s="3">
        <v>0</v>
      </c>
      <c r="C113" s="3">
        <v>2</v>
      </c>
      <c r="D113" s="3">
        <v>132</v>
      </c>
      <c r="E113" s="3">
        <v>288</v>
      </c>
      <c r="F113" s="3">
        <v>1</v>
      </c>
      <c r="G113" s="3">
        <v>2</v>
      </c>
      <c r="H113" s="3">
        <v>159</v>
      </c>
      <c r="I113" s="3">
        <v>1</v>
      </c>
      <c r="J113" s="3">
        <v>0</v>
      </c>
      <c r="K113" s="3">
        <v>1</v>
      </c>
      <c r="L113" s="3">
        <v>1</v>
      </c>
      <c r="M113" s="3">
        <v>3</v>
      </c>
      <c r="N113" s="3">
        <v>0</v>
      </c>
      <c r="O113" s="7">
        <f t="shared" si="7"/>
        <v>-2.3321621460000017</v>
      </c>
      <c r="P113" s="7">
        <f t="shared" si="8"/>
        <v>8.8494103050656733E-2</v>
      </c>
      <c r="Q113" s="7">
        <f t="shared" si="9"/>
        <v>0</v>
      </c>
      <c r="R113" s="3">
        <f t="shared" si="10"/>
        <v>0</v>
      </c>
      <c r="S113" s="3">
        <f t="shared" si="11"/>
        <v>0.91150589694934325</v>
      </c>
      <c r="T113" s="3">
        <f t="shared" si="12"/>
        <v>9.2657215384244138E-2</v>
      </c>
    </row>
    <row r="114" spans="1:20" x14ac:dyDescent="0.25">
      <c r="A114" s="3">
        <v>35</v>
      </c>
      <c r="B114" s="3">
        <v>1</v>
      </c>
      <c r="C114" s="3">
        <v>4</v>
      </c>
      <c r="D114" s="3">
        <v>126</v>
      </c>
      <c r="E114" s="3">
        <v>282</v>
      </c>
      <c r="F114" s="3">
        <v>0</v>
      </c>
      <c r="G114" s="3">
        <v>2</v>
      </c>
      <c r="H114" s="3">
        <v>156</v>
      </c>
      <c r="I114" s="3">
        <v>1</v>
      </c>
      <c r="J114" s="3">
        <v>0</v>
      </c>
      <c r="K114" s="3">
        <v>1</v>
      </c>
      <c r="L114" s="3">
        <v>0</v>
      </c>
      <c r="M114" s="3">
        <v>7</v>
      </c>
      <c r="N114" s="3">
        <v>1</v>
      </c>
      <c r="O114" s="7">
        <f t="shared" si="7"/>
        <v>0.62737639399999878</v>
      </c>
      <c r="P114" s="7">
        <f t="shared" si="8"/>
        <v>0.6518943297431059</v>
      </c>
      <c r="Q114" s="7">
        <f t="shared" si="9"/>
        <v>1</v>
      </c>
      <c r="R114" s="3">
        <f t="shared" si="10"/>
        <v>0</v>
      </c>
      <c r="S114" s="3">
        <f t="shared" si="11"/>
        <v>0.6518943297431059</v>
      </c>
      <c r="T114" s="3">
        <f t="shared" si="12"/>
        <v>0.42787280113655568</v>
      </c>
    </row>
    <row r="115" spans="1:20" x14ac:dyDescent="0.25">
      <c r="A115" s="3">
        <v>45</v>
      </c>
      <c r="B115" s="3">
        <v>0</v>
      </c>
      <c r="C115" s="3">
        <v>2</v>
      </c>
      <c r="D115" s="3">
        <v>112</v>
      </c>
      <c r="E115" s="3">
        <v>160</v>
      </c>
      <c r="F115" s="3">
        <v>0</v>
      </c>
      <c r="G115" s="3">
        <v>0</v>
      </c>
      <c r="H115" s="3">
        <v>138</v>
      </c>
      <c r="I115" s="3">
        <v>0</v>
      </c>
      <c r="J115" s="3">
        <v>0</v>
      </c>
      <c r="K115" s="3">
        <v>2</v>
      </c>
      <c r="L115" s="3">
        <v>0</v>
      </c>
      <c r="M115" s="3">
        <v>3</v>
      </c>
      <c r="N115" s="3">
        <v>0</v>
      </c>
      <c r="O115" s="7">
        <f t="shared" si="7"/>
        <v>-3.9815082120000014</v>
      </c>
      <c r="P115" s="7">
        <f t="shared" si="8"/>
        <v>1.8315752904510669E-2</v>
      </c>
      <c r="Q115" s="7">
        <f t="shared" si="9"/>
        <v>0</v>
      </c>
      <c r="R115" s="3">
        <f t="shared" si="10"/>
        <v>0</v>
      </c>
      <c r="S115" s="3">
        <f t="shared" si="11"/>
        <v>0.98168424709548929</v>
      </c>
      <c r="T115" s="3">
        <f t="shared" si="12"/>
        <v>1.848556296890326E-2</v>
      </c>
    </row>
    <row r="116" spans="1:20" x14ac:dyDescent="0.25">
      <c r="A116" s="3">
        <v>59</v>
      </c>
      <c r="B116" s="3">
        <v>0</v>
      </c>
      <c r="C116" s="3">
        <v>4</v>
      </c>
      <c r="D116" s="3">
        <v>174</v>
      </c>
      <c r="E116" s="3">
        <v>249</v>
      </c>
      <c r="F116" s="3">
        <v>0</v>
      </c>
      <c r="G116" s="3">
        <v>0</v>
      </c>
      <c r="H116" s="3">
        <v>143</v>
      </c>
      <c r="I116" s="3">
        <v>1</v>
      </c>
      <c r="J116" s="3">
        <v>0</v>
      </c>
      <c r="K116" s="3">
        <v>2</v>
      </c>
      <c r="L116" s="3">
        <v>0</v>
      </c>
      <c r="M116" s="3">
        <v>3</v>
      </c>
      <c r="N116" s="3">
        <v>1</v>
      </c>
      <c r="O116" s="7">
        <f t="shared" si="7"/>
        <v>0.29193535099999934</v>
      </c>
      <c r="P116" s="7">
        <f t="shared" si="8"/>
        <v>0.57246987274189443</v>
      </c>
      <c r="Q116" s="7">
        <f t="shared" si="9"/>
        <v>1</v>
      </c>
      <c r="R116" s="3">
        <f t="shared" si="10"/>
        <v>0</v>
      </c>
      <c r="S116" s="3">
        <f t="shared" si="11"/>
        <v>0.57246987274189443</v>
      </c>
      <c r="T116" s="3">
        <f t="shared" si="12"/>
        <v>0.55779516897006076</v>
      </c>
    </row>
    <row r="117" spans="1:20" x14ac:dyDescent="0.25">
      <c r="A117" s="3">
        <v>62</v>
      </c>
      <c r="B117" s="3">
        <v>0</v>
      </c>
      <c r="C117" s="3">
        <v>4</v>
      </c>
      <c r="D117" s="3">
        <v>140</v>
      </c>
      <c r="E117" s="3">
        <v>394</v>
      </c>
      <c r="F117" s="3">
        <v>0</v>
      </c>
      <c r="G117" s="3">
        <v>2</v>
      </c>
      <c r="H117" s="3">
        <v>157</v>
      </c>
      <c r="I117" s="3">
        <v>0</v>
      </c>
      <c r="J117" s="3">
        <v>1.2</v>
      </c>
      <c r="K117" s="3">
        <v>2</v>
      </c>
      <c r="L117" s="3">
        <v>0</v>
      </c>
      <c r="M117" s="3">
        <v>3</v>
      </c>
      <c r="N117" s="3">
        <v>0</v>
      </c>
      <c r="O117" s="7">
        <f t="shared" si="7"/>
        <v>-0.71125765900000104</v>
      </c>
      <c r="P117" s="7">
        <f t="shared" si="8"/>
        <v>0.32932100310511758</v>
      </c>
      <c r="Q117" s="7">
        <f t="shared" si="9"/>
        <v>0</v>
      </c>
      <c r="R117" s="3">
        <f t="shared" si="10"/>
        <v>0</v>
      </c>
      <c r="S117" s="3">
        <f t="shared" si="11"/>
        <v>0.67067899689488242</v>
      </c>
      <c r="T117" s="3">
        <f t="shared" si="12"/>
        <v>0.39946465156748873</v>
      </c>
    </row>
    <row r="118" spans="1:20" x14ac:dyDescent="0.25">
      <c r="A118" s="3">
        <v>64</v>
      </c>
      <c r="B118" s="3">
        <v>1</v>
      </c>
      <c r="C118" s="3">
        <v>4</v>
      </c>
      <c r="D118" s="3">
        <v>145</v>
      </c>
      <c r="E118" s="3">
        <v>212</v>
      </c>
      <c r="F118" s="3">
        <v>0</v>
      </c>
      <c r="G118" s="3">
        <v>2</v>
      </c>
      <c r="H118" s="3">
        <v>132</v>
      </c>
      <c r="I118" s="3">
        <v>0</v>
      </c>
      <c r="J118" s="3">
        <v>2</v>
      </c>
      <c r="K118" s="3">
        <v>2</v>
      </c>
      <c r="L118" s="3">
        <v>2</v>
      </c>
      <c r="M118" s="3">
        <v>6</v>
      </c>
      <c r="N118" s="3">
        <v>1</v>
      </c>
      <c r="O118" s="7">
        <f t="shared" si="7"/>
        <v>4.3118203989999984</v>
      </c>
      <c r="P118" s="7">
        <f t="shared" si="8"/>
        <v>0.986768307894199</v>
      </c>
      <c r="Q118" s="7">
        <f t="shared" si="9"/>
        <v>1</v>
      </c>
      <c r="R118" s="3">
        <f t="shared" si="10"/>
        <v>0</v>
      </c>
      <c r="S118" s="3">
        <f t="shared" si="11"/>
        <v>0.986768307894199</v>
      </c>
      <c r="T118" s="3">
        <f t="shared" si="12"/>
        <v>1.3320010880162336E-2</v>
      </c>
    </row>
    <row r="119" spans="1:20" x14ac:dyDescent="0.25">
      <c r="A119" s="3">
        <v>56</v>
      </c>
      <c r="B119" s="3">
        <v>1</v>
      </c>
      <c r="C119" s="3">
        <v>4</v>
      </c>
      <c r="D119" s="3">
        <v>132</v>
      </c>
      <c r="E119" s="3">
        <v>184</v>
      </c>
      <c r="F119" s="3">
        <v>0</v>
      </c>
      <c r="G119" s="3">
        <v>2</v>
      </c>
      <c r="H119" s="3">
        <v>105</v>
      </c>
      <c r="I119" s="3">
        <v>1</v>
      </c>
      <c r="J119" s="3">
        <v>2.1</v>
      </c>
      <c r="K119" s="3">
        <v>2</v>
      </c>
      <c r="L119" s="3">
        <v>1</v>
      </c>
      <c r="M119" s="3">
        <v>6</v>
      </c>
      <c r="N119" s="3">
        <v>1</v>
      </c>
      <c r="O119" s="7">
        <f t="shared" si="7"/>
        <v>3.8471775014999992</v>
      </c>
      <c r="P119" s="7">
        <f t="shared" si="8"/>
        <v>0.97910599237954599</v>
      </c>
      <c r="Q119" s="7">
        <f t="shared" si="9"/>
        <v>1</v>
      </c>
      <c r="R119" s="3">
        <f t="shared" si="10"/>
        <v>0</v>
      </c>
      <c r="S119" s="3">
        <f t="shared" si="11"/>
        <v>0.97910599237954599</v>
      </c>
      <c r="T119" s="3">
        <f t="shared" si="12"/>
        <v>2.1115376347156326E-2</v>
      </c>
    </row>
    <row r="120" spans="1:20" x14ac:dyDescent="0.25">
      <c r="A120" s="3">
        <v>48</v>
      </c>
      <c r="B120" s="3">
        <v>1</v>
      </c>
      <c r="C120" s="3">
        <v>4</v>
      </c>
      <c r="D120" s="3">
        <v>124</v>
      </c>
      <c r="E120" s="3">
        <v>274</v>
      </c>
      <c r="F120" s="3">
        <v>0</v>
      </c>
      <c r="G120" s="3">
        <v>2</v>
      </c>
      <c r="H120" s="3">
        <v>166</v>
      </c>
      <c r="I120" s="3">
        <v>0</v>
      </c>
      <c r="J120" s="3">
        <v>0.5</v>
      </c>
      <c r="K120" s="3">
        <v>2</v>
      </c>
      <c r="L120" s="3">
        <v>0</v>
      </c>
      <c r="M120" s="3">
        <v>7</v>
      </c>
      <c r="N120" s="3">
        <v>1</v>
      </c>
      <c r="O120" s="7">
        <f t="shared" si="7"/>
        <v>0.42993521949999902</v>
      </c>
      <c r="P120" s="7">
        <f t="shared" si="8"/>
        <v>0.60585819934043184</v>
      </c>
      <c r="Q120" s="7">
        <f t="shared" si="9"/>
        <v>1</v>
      </c>
      <c r="R120" s="3">
        <f t="shared" si="10"/>
        <v>0</v>
      </c>
      <c r="S120" s="3">
        <f t="shared" si="11"/>
        <v>0.60585819934043184</v>
      </c>
      <c r="T120" s="3">
        <f t="shared" si="12"/>
        <v>0.50110931478154042</v>
      </c>
    </row>
    <row r="121" spans="1:20" x14ac:dyDescent="0.25">
      <c r="A121" s="3">
        <v>56</v>
      </c>
      <c r="B121" s="3">
        <v>0</v>
      </c>
      <c r="C121" s="3">
        <v>4</v>
      </c>
      <c r="D121" s="3">
        <v>134</v>
      </c>
      <c r="E121" s="3">
        <v>409</v>
      </c>
      <c r="F121" s="3">
        <v>0</v>
      </c>
      <c r="G121" s="3">
        <v>2</v>
      </c>
      <c r="H121" s="3">
        <v>150</v>
      </c>
      <c r="I121" s="3">
        <v>1</v>
      </c>
      <c r="J121" s="3">
        <v>1.9</v>
      </c>
      <c r="K121" s="3">
        <v>2</v>
      </c>
      <c r="L121" s="3">
        <v>2</v>
      </c>
      <c r="M121" s="3">
        <v>7</v>
      </c>
      <c r="N121" s="3">
        <v>1</v>
      </c>
      <c r="O121" s="7">
        <f t="shared" si="7"/>
        <v>4.2678713445000014</v>
      </c>
      <c r="P121" s="7">
        <f t="shared" si="8"/>
        <v>0.98618203424230111</v>
      </c>
      <c r="Q121" s="7">
        <f t="shared" si="9"/>
        <v>1</v>
      </c>
      <c r="R121" s="3">
        <f t="shared" si="10"/>
        <v>0</v>
      </c>
      <c r="S121" s="3">
        <f t="shared" si="11"/>
        <v>0.98618203424230111</v>
      </c>
      <c r="T121" s="3">
        <f t="shared" si="12"/>
        <v>1.3914322512475714E-2</v>
      </c>
    </row>
    <row r="122" spans="1:20" x14ac:dyDescent="0.25">
      <c r="A122" s="3">
        <v>42</v>
      </c>
      <c r="B122" s="3">
        <v>1</v>
      </c>
      <c r="C122" s="3">
        <v>1</v>
      </c>
      <c r="D122" s="3">
        <v>148</v>
      </c>
      <c r="E122" s="3">
        <v>244</v>
      </c>
      <c r="F122" s="3">
        <v>0</v>
      </c>
      <c r="G122" s="3">
        <v>2</v>
      </c>
      <c r="H122" s="3">
        <v>178</v>
      </c>
      <c r="I122" s="3">
        <v>0</v>
      </c>
      <c r="J122" s="3">
        <v>0.8</v>
      </c>
      <c r="K122" s="3">
        <v>1</v>
      </c>
      <c r="L122" s="3">
        <v>2</v>
      </c>
      <c r="M122" s="3">
        <v>3</v>
      </c>
      <c r="N122" s="3">
        <v>0</v>
      </c>
      <c r="O122" s="7">
        <f t="shared" si="7"/>
        <v>-0.77888147400000207</v>
      </c>
      <c r="P122" s="7">
        <f t="shared" si="8"/>
        <v>0.31456100407590853</v>
      </c>
      <c r="Q122" s="7">
        <f t="shared" si="9"/>
        <v>0</v>
      </c>
      <c r="R122" s="3">
        <f t="shared" si="10"/>
        <v>0</v>
      </c>
      <c r="S122" s="3">
        <f t="shared" si="11"/>
        <v>0.68543899592409141</v>
      </c>
      <c r="T122" s="3">
        <f t="shared" si="12"/>
        <v>0.37769577602719273</v>
      </c>
    </row>
    <row r="123" spans="1:20" x14ac:dyDescent="0.25">
      <c r="A123" s="3">
        <v>67</v>
      </c>
      <c r="B123" s="3">
        <v>1</v>
      </c>
      <c r="C123" s="3">
        <v>4</v>
      </c>
      <c r="D123" s="3">
        <v>100</v>
      </c>
      <c r="E123" s="3">
        <v>299</v>
      </c>
      <c r="F123" s="3">
        <v>0</v>
      </c>
      <c r="G123" s="3">
        <v>2</v>
      </c>
      <c r="H123" s="3">
        <v>125</v>
      </c>
      <c r="I123" s="3">
        <v>1</v>
      </c>
      <c r="J123" s="3">
        <v>0.9</v>
      </c>
      <c r="K123" s="3">
        <v>2</v>
      </c>
      <c r="L123" s="3">
        <v>2</v>
      </c>
      <c r="M123" s="3">
        <v>3</v>
      </c>
      <c r="N123" s="3">
        <v>1</v>
      </c>
      <c r="O123" s="7">
        <f t="shared" si="7"/>
        <v>2.8199651914999979</v>
      </c>
      <c r="P123" s="7">
        <f t="shared" si="8"/>
        <v>0.94374521846580806</v>
      </c>
      <c r="Q123" s="7">
        <f t="shared" si="9"/>
        <v>1</v>
      </c>
      <c r="R123" s="3">
        <f t="shared" si="10"/>
        <v>0</v>
      </c>
      <c r="S123" s="3">
        <f t="shared" si="11"/>
        <v>0.94374521846580806</v>
      </c>
      <c r="T123" s="3">
        <f t="shared" si="12"/>
        <v>5.789904495803358E-2</v>
      </c>
    </row>
    <row r="124" spans="1:20" x14ac:dyDescent="0.25">
      <c r="A124" s="3">
        <v>69</v>
      </c>
      <c r="B124" s="3">
        <v>1</v>
      </c>
      <c r="C124" s="3">
        <v>1</v>
      </c>
      <c r="D124" s="3">
        <v>160</v>
      </c>
      <c r="E124" s="3">
        <v>234</v>
      </c>
      <c r="F124" s="3">
        <v>1</v>
      </c>
      <c r="G124" s="3">
        <v>2</v>
      </c>
      <c r="H124" s="3">
        <v>131</v>
      </c>
      <c r="I124" s="3">
        <v>0</v>
      </c>
      <c r="J124" s="3">
        <v>0.1</v>
      </c>
      <c r="K124" s="3">
        <v>2</v>
      </c>
      <c r="L124" s="3">
        <v>1</v>
      </c>
      <c r="M124" s="3">
        <v>3</v>
      </c>
      <c r="N124" s="3">
        <v>0</v>
      </c>
      <c r="O124" s="7">
        <f t="shared" si="7"/>
        <v>-0.95164658050000206</v>
      </c>
      <c r="P124" s="7">
        <f t="shared" si="8"/>
        <v>0.27855380193130214</v>
      </c>
      <c r="Q124" s="7">
        <f t="shared" si="9"/>
        <v>0</v>
      </c>
      <c r="R124" s="3">
        <f t="shared" si="10"/>
        <v>0</v>
      </c>
      <c r="S124" s="3">
        <f t="shared" si="11"/>
        <v>0.72144619806869792</v>
      </c>
      <c r="T124" s="3">
        <f t="shared" si="12"/>
        <v>0.32649747310001292</v>
      </c>
    </row>
    <row r="125" spans="1:20" x14ac:dyDescent="0.25">
      <c r="A125" s="3">
        <v>45</v>
      </c>
      <c r="B125" s="3">
        <v>0</v>
      </c>
      <c r="C125" s="3">
        <v>4</v>
      </c>
      <c r="D125" s="3">
        <v>138</v>
      </c>
      <c r="E125" s="3">
        <v>236</v>
      </c>
      <c r="F125" s="3">
        <v>0</v>
      </c>
      <c r="G125" s="3">
        <v>2</v>
      </c>
      <c r="H125" s="3">
        <v>152</v>
      </c>
      <c r="I125" s="3">
        <v>1</v>
      </c>
      <c r="J125" s="3">
        <v>0.2</v>
      </c>
      <c r="K125" s="3">
        <v>2</v>
      </c>
      <c r="L125" s="3">
        <v>0</v>
      </c>
      <c r="M125" s="3">
        <v>3</v>
      </c>
      <c r="N125" s="3">
        <v>0</v>
      </c>
      <c r="O125" s="7">
        <f t="shared" si="7"/>
        <v>-0.36251709699999957</v>
      </c>
      <c r="P125" s="7">
        <f t="shared" si="8"/>
        <v>0.41035038459043272</v>
      </c>
      <c r="Q125" s="7">
        <f t="shared" si="9"/>
        <v>0</v>
      </c>
      <c r="R125" s="3">
        <f t="shared" si="10"/>
        <v>0</v>
      </c>
      <c r="S125" s="3">
        <f t="shared" si="11"/>
        <v>0.58964961540956728</v>
      </c>
      <c r="T125" s="3">
        <f t="shared" si="12"/>
        <v>0.52822679068148093</v>
      </c>
    </row>
    <row r="126" spans="1:20" x14ac:dyDescent="0.25">
      <c r="A126" s="3">
        <v>50</v>
      </c>
      <c r="B126" s="3">
        <v>0</v>
      </c>
      <c r="C126" s="3">
        <v>2</v>
      </c>
      <c r="D126" s="3">
        <v>120</v>
      </c>
      <c r="E126" s="3">
        <v>244</v>
      </c>
      <c r="F126" s="3">
        <v>0</v>
      </c>
      <c r="G126" s="3">
        <v>0</v>
      </c>
      <c r="H126" s="3">
        <v>162</v>
      </c>
      <c r="I126" s="3">
        <v>0</v>
      </c>
      <c r="J126" s="3">
        <v>1.1000000000000001</v>
      </c>
      <c r="K126" s="3">
        <v>1</v>
      </c>
      <c r="L126" s="3">
        <v>0</v>
      </c>
      <c r="M126" s="3">
        <v>3</v>
      </c>
      <c r="N126" s="3">
        <v>0</v>
      </c>
      <c r="O126" s="7">
        <f t="shared" si="7"/>
        <v>-4.6955441515000009</v>
      </c>
      <c r="P126" s="7">
        <f t="shared" si="8"/>
        <v>9.0531857524915292E-3</v>
      </c>
      <c r="Q126" s="7">
        <f t="shared" si="9"/>
        <v>0</v>
      </c>
      <c r="R126" s="3">
        <f t="shared" si="10"/>
        <v>0</v>
      </c>
      <c r="S126" s="3">
        <f t="shared" si="11"/>
        <v>0.99094681424750852</v>
      </c>
      <c r="T126" s="3">
        <f t="shared" si="12"/>
        <v>9.0944148638034926E-3</v>
      </c>
    </row>
    <row r="127" spans="1:20" x14ac:dyDescent="0.25">
      <c r="A127" s="3">
        <v>59</v>
      </c>
      <c r="B127" s="3">
        <v>1</v>
      </c>
      <c r="C127" s="3">
        <v>1</v>
      </c>
      <c r="D127" s="3">
        <v>160</v>
      </c>
      <c r="E127" s="3">
        <v>273</v>
      </c>
      <c r="F127" s="3">
        <v>0</v>
      </c>
      <c r="G127" s="3">
        <v>2</v>
      </c>
      <c r="H127" s="3">
        <v>125</v>
      </c>
      <c r="I127" s="3">
        <v>0</v>
      </c>
      <c r="J127" s="3">
        <v>0</v>
      </c>
      <c r="K127" s="3">
        <v>1</v>
      </c>
      <c r="L127" s="3">
        <v>0</v>
      </c>
      <c r="M127" s="3">
        <v>3</v>
      </c>
      <c r="N127" s="3">
        <v>1</v>
      </c>
      <c r="O127" s="7">
        <f t="shared" si="7"/>
        <v>-2.403957782</v>
      </c>
      <c r="P127" s="7">
        <f t="shared" si="8"/>
        <v>8.2871393287960574E-2</v>
      </c>
      <c r="Q127" s="7">
        <f t="shared" si="9"/>
        <v>0</v>
      </c>
      <c r="R127" s="3">
        <f t="shared" si="10"/>
        <v>1</v>
      </c>
      <c r="S127" s="3">
        <f t="shared" si="11"/>
        <v>8.2871393287960574E-2</v>
      </c>
      <c r="T127" s="3">
        <f t="shared" si="12"/>
        <v>2.4904653513270736</v>
      </c>
    </row>
    <row r="128" spans="1:20" x14ac:dyDescent="0.25">
      <c r="A128" s="3">
        <v>64</v>
      </c>
      <c r="B128" s="3">
        <v>0</v>
      </c>
      <c r="C128" s="3">
        <v>3</v>
      </c>
      <c r="D128" s="3">
        <v>140</v>
      </c>
      <c r="E128" s="3">
        <v>313</v>
      </c>
      <c r="F128" s="3">
        <v>0</v>
      </c>
      <c r="G128" s="3">
        <v>0</v>
      </c>
      <c r="H128" s="3">
        <v>133</v>
      </c>
      <c r="I128" s="3">
        <v>0</v>
      </c>
      <c r="J128" s="3">
        <v>0.2</v>
      </c>
      <c r="K128" s="3">
        <v>1</v>
      </c>
      <c r="L128" s="3">
        <v>0</v>
      </c>
      <c r="M128" s="3">
        <v>7</v>
      </c>
      <c r="N128" s="3">
        <v>0</v>
      </c>
      <c r="O128" s="7">
        <f t="shared" si="7"/>
        <v>-1.6124020770000005</v>
      </c>
      <c r="P128" s="7">
        <f t="shared" si="8"/>
        <v>0.16625538381478056</v>
      </c>
      <c r="Q128" s="7">
        <f t="shared" si="9"/>
        <v>0</v>
      </c>
      <c r="R128" s="3">
        <f t="shared" si="10"/>
        <v>0</v>
      </c>
      <c r="S128" s="3">
        <f t="shared" si="11"/>
        <v>0.83374461618521944</v>
      </c>
      <c r="T128" s="3">
        <f t="shared" si="12"/>
        <v>0.18182813912221449</v>
      </c>
    </row>
    <row r="129" spans="1:20" x14ac:dyDescent="0.25">
      <c r="A129" s="3">
        <v>45</v>
      </c>
      <c r="B129" s="3">
        <v>1</v>
      </c>
      <c r="C129" s="3">
        <v>4</v>
      </c>
      <c r="D129" s="3">
        <v>142</v>
      </c>
      <c r="E129" s="3">
        <v>309</v>
      </c>
      <c r="F129" s="3">
        <v>0</v>
      </c>
      <c r="G129" s="3">
        <v>2</v>
      </c>
      <c r="H129" s="3">
        <v>147</v>
      </c>
      <c r="I129" s="3">
        <v>1</v>
      </c>
      <c r="J129" s="3">
        <v>0</v>
      </c>
      <c r="K129" s="3">
        <v>2</v>
      </c>
      <c r="L129" s="3">
        <v>3</v>
      </c>
      <c r="M129" s="3">
        <v>7</v>
      </c>
      <c r="N129" s="3">
        <v>1</v>
      </c>
      <c r="O129" s="7">
        <f t="shared" si="7"/>
        <v>6.3394654369999994</v>
      </c>
      <c r="P129" s="7">
        <f t="shared" si="8"/>
        <v>0.99823786498146538</v>
      </c>
      <c r="Q129" s="7">
        <f t="shared" si="9"/>
        <v>1</v>
      </c>
      <c r="R129" s="3">
        <f t="shared" si="10"/>
        <v>0</v>
      </c>
      <c r="S129" s="3">
        <f t="shared" si="11"/>
        <v>0.99823786498146538</v>
      </c>
      <c r="T129" s="3">
        <f t="shared" si="12"/>
        <v>1.7636894047403605E-3</v>
      </c>
    </row>
    <row r="130" spans="1:20" x14ac:dyDescent="0.25">
      <c r="A130" s="3">
        <v>41</v>
      </c>
      <c r="B130" s="3">
        <v>1</v>
      </c>
      <c r="C130" s="3">
        <v>3</v>
      </c>
      <c r="D130" s="3">
        <v>130</v>
      </c>
      <c r="E130" s="3">
        <v>214</v>
      </c>
      <c r="F130" s="3">
        <v>0</v>
      </c>
      <c r="G130" s="3">
        <v>2</v>
      </c>
      <c r="H130" s="3">
        <v>168</v>
      </c>
      <c r="I130" s="3">
        <v>0</v>
      </c>
      <c r="J130" s="3">
        <v>2</v>
      </c>
      <c r="K130" s="3">
        <v>2</v>
      </c>
      <c r="L130" s="3">
        <v>0</v>
      </c>
      <c r="M130" s="3">
        <v>3</v>
      </c>
      <c r="N130" s="3">
        <v>0</v>
      </c>
      <c r="O130" s="7">
        <f t="shared" si="7"/>
        <v>-1.2008318100000013</v>
      </c>
      <c r="P130" s="7">
        <f t="shared" si="8"/>
        <v>0.23132727517924823</v>
      </c>
      <c r="Q130" s="7">
        <f t="shared" si="9"/>
        <v>0</v>
      </c>
      <c r="R130" s="3">
        <f t="shared" si="10"/>
        <v>0</v>
      </c>
      <c r="S130" s="3">
        <f t="shared" si="11"/>
        <v>0.76867272482075177</v>
      </c>
      <c r="T130" s="3">
        <f t="shared" si="12"/>
        <v>0.26308998547231105</v>
      </c>
    </row>
    <row r="131" spans="1:20" x14ac:dyDescent="0.25">
      <c r="A131" s="3">
        <v>66</v>
      </c>
      <c r="B131" s="3">
        <v>0</v>
      </c>
      <c r="C131" s="3">
        <v>4</v>
      </c>
      <c r="D131" s="3">
        <v>178</v>
      </c>
      <c r="E131" s="3">
        <v>228</v>
      </c>
      <c r="F131" s="3">
        <v>1</v>
      </c>
      <c r="G131" s="3">
        <v>0</v>
      </c>
      <c r="H131" s="3">
        <v>165</v>
      </c>
      <c r="I131" s="3">
        <v>1</v>
      </c>
      <c r="J131" s="3">
        <v>1</v>
      </c>
      <c r="K131" s="3">
        <v>2</v>
      </c>
      <c r="L131" s="3">
        <v>2</v>
      </c>
      <c r="M131" s="3">
        <v>7</v>
      </c>
      <c r="N131" s="3">
        <v>1</v>
      </c>
      <c r="O131" s="7">
        <f t="shared" si="7"/>
        <v>3.5739580029999978</v>
      </c>
      <c r="P131" s="7">
        <f t="shared" si="8"/>
        <v>0.97272041302637058</v>
      </c>
      <c r="Q131" s="7">
        <f t="shared" si="9"/>
        <v>1</v>
      </c>
      <c r="R131" s="3">
        <f t="shared" si="10"/>
        <v>0</v>
      </c>
      <c r="S131" s="3">
        <f t="shared" si="11"/>
        <v>0.97272041302637058</v>
      </c>
      <c r="T131" s="3">
        <f t="shared" si="12"/>
        <v>2.7658583384340553E-2</v>
      </c>
    </row>
    <row r="132" spans="1:20" x14ac:dyDescent="0.25">
      <c r="A132" s="3">
        <v>52</v>
      </c>
      <c r="B132" s="3">
        <v>1</v>
      </c>
      <c r="C132" s="3">
        <v>4</v>
      </c>
      <c r="D132" s="3">
        <v>112</v>
      </c>
      <c r="E132" s="3">
        <v>230</v>
      </c>
      <c r="F132" s="3">
        <v>0</v>
      </c>
      <c r="G132" s="3">
        <v>0</v>
      </c>
      <c r="H132" s="3">
        <v>160</v>
      </c>
      <c r="I132" s="3">
        <v>0</v>
      </c>
      <c r="J132" s="3">
        <v>0</v>
      </c>
      <c r="K132" s="3">
        <v>1</v>
      </c>
      <c r="L132" s="3">
        <v>1</v>
      </c>
      <c r="M132" s="3">
        <v>3</v>
      </c>
      <c r="N132" s="3">
        <v>1</v>
      </c>
      <c r="O132" s="7">
        <f t="shared" si="7"/>
        <v>-1.2244140220000013</v>
      </c>
      <c r="P132" s="7">
        <f t="shared" si="8"/>
        <v>0.227160597668531</v>
      </c>
      <c r="Q132" s="7">
        <f t="shared" si="9"/>
        <v>0</v>
      </c>
      <c r="R132" s="3">
        <f t="shared" si="10"/>
        <v>1</v>
      </c>
      <c r="S132" s="3">
        <f t="shared" si="11"/>
        <v>0.227160597668531</v>
      </c>
      <c r="T132" s="3">
        <f t="shared" si="12"/>
        <v>1.482098032929831</v>
      </c>
    </row>
    <row r="133" spans="1:20" x14ac:dyDescent="0.25">
      <c r="A133" s="3">
        <v>56</v>
      </c>
      <c r="B133" s="3">
        <v>1</v>
      </c>
      <c r="C133" s="3">
        <v>1</v>
      </c>
      <c r="D133" s="3">
        <v>120</v>
      </c>
      <c r="E133" s="3">
        <v>193</v>
      </c>
      <c r="F133" s="3">
        <v>0</v>
      </c>
      <c r="G133" s="3">
        <v>2</v>
      </c>
      <c r="H133" s="3">
        <v>162</v>
      </c>
      <c r="I133" s="3">
        <v>0</v>
      </c>
      <c r="J133" s="3">
        <v>1.9</v>
      </c>
      <c r="K133" s="3">
        <v>2</v>
      </c>
      <c r="L133" s="3">
        <v>0</v>
      </c>
      <c r="M133" s="3">
        <v>7</v>
      </c>
      <c r="N133" s="3">
        <v>0</v>
      </c>
      <c r="O133" s="7">
        <f t="shared" si="7"/>
        <v>-2.0807256495000015</v>
      </c>
      <c r="P133" s="7">
        <f t="shared" si="8"/>
        <v>0.11098434896668882</v>
      </c>
      <c r="Q133" s="7">
        <f t="shared" si="9"/>
        <v>0</v>
      </c>
      <c r="R133" s="3">
        <f t="shared" si="10"/>
        <v>0</v>
      </c>
      <c r="S133" s="3">
        <f t="shared" si="11"/>
        <v>0.88901565103331115</v>
      </c>
      <c r="T133" s="3">
        <f t="shared" si="12"/>
        <v>0.11764043841137883</v>
      </c>
    </row>
    <row r="134" spans="1:20" x14ac:dyDescent="0.25">
      <c r="A134" s="3">
        <v>59</v>
      </c>
      <c r="B134" s="3">
        <v>1</v>
      </c>
      <c r="C134" s="3">
        <v>4</v>
      </c>
      <c r="D134" s="3">
        <v>138</v>
      </c>
      <c r="E134" s="3">
        <v>271</v>
      </c>
      <c r="F134" s="3">
        <v>0</v>
      </c>
      <c r="G134" s="3">
        <v>2</v>
      </c>
      <c r="H134" s="3">
        <v>182</v>
      </c>
      <c r="I134" s="3">
        <v>0</v>
      </c>
      <c r="J134" s="3">
        <v>0</v>
      </c>
      <c r="K134" s="3">
        <v>1</v>
      </c>
      <c r="L134" s="3">
        <v>0</v>
      </c>
      <c r="M134" s="3">
        <v>3</v>
      </c>
      <c r="N134" s="3">
        <v>0</v>
      </c>
      <c r="O134" s="7">
        <f t="shared" si="7"/>
        <v>-1.7874224730000003</v>
      </c>
      <c r="P134" s="7">
        <f t="shared" si="8"/>
        <v>0.14338902663531897</v>
      </c>
      <c r="Q134" s="7">
        <f t="shared" si="9"/>
        <v>0</v>
      </c>
      <c r="R134" s="3">
        <f t="shared" si="10"/>
        <v>0</v>
      </c>
      <c r="S134" s="3">
        <f t="shared" si="11"/>
        <v>0.85661097336468106</v>
      </c>
      <c r="T134" s="3">
        <f t="shared" si="12"/>
        <v>0.15477140351088836</v>
      </c>
    </row>
    <row r="135" spans="1:20" x14ac:dyDescent="0.25">
      <c r="A135" s="3">
        <v>67</v>
      </c>
      <c r="B135" s="3">
        <v>0</v>
      </c>
      <c r="C135" s="3">
        <v>3</v>
      </c>
      <c r="D135" s="3">
        <v>152</v>
      </c>
      <c r="E135" s="3">
        <v>277</v>
      </c>
      <c r="F135" s="3">
        <v>0</v>
      </c>
      <c r="G135" s="3">
        <v>0</v>
      </c>
      <c r="H135" s="3">
        <v>172</v>
      </c>
      <c r="I135" s="3">
        <v>0</v>
      </c>
      <c r="J135" s="3">
        <v>0</v>
      </c>
      <c r="K135" s="3">
        <v>1</v>
      </c>
      <c r="L135" s="3">
        <v>1</v>
      </c>
      <c r="M135" s="3">
        <v>3</v>
      </c>
      <c r="N135" s="3">
        <v>0</v>
      </c>
      <c r="O135" s="7">
        <f t="shared" ref="O135:O198" si="13">SUMPRODUCT(A$4:M$4, A135:M135)+N$4</f>
        <v>-2.03624999</v>
      </c>
      <c r="P135" s="7">
        <f t="shared" ref="P135:P198" si="14">1/(1+EXP(0-O135))</f>
        <v>0.11544913353569598</v>
      </c>
      <c r="Q135" s="7">
        <f t="shared" ref="Q135:Q198" si="15">IF(P135&lt;=0.5, 0, 1)</f>
        <v>0</v>
      </c>
      <c r="R135" s="3">
        <f t="shared" ref="R135:R198" si="16">IF(N135=Q135, 0, 1)</f>
        <v>0</v>
      </c>
      <c r="S135" s="3">
        <f t="shared" ref="S135:S198" si="17">IF(N135=1, P135, 1-P135)</f>
        <v>0.88455086646430403</v>
      </c>
      <c r="T135" s="3">
        <f t="shared" ref="T135:T198" si="18">IF(S135=0, 100000, -LN(S135))</f>
        <v>0.12267525831420502</v>
      </c>
    </row>
    <row r="136" spans="1:20" x14ac:dyDescent="0.25">
      <c r="A136" s="3">
        <v>52</v>
      </c>
      <c r="B136" s="3">
        <v>0</v>
      </c>
      <c r="C136" s="3">
        <v>3</v>
      </c>
      <c r="D136" s="3">
        <v>136</v>
      </c>
      <c r="E136" s="3">
        <v>196</v>
      </c>
      <c r="F136" s="3">
        <v>0</v>
      </c>
      <c r="G136" s="3">
        <v>2</v>
      </c>
      <c r="H136" s="3">
        <v>169</v>
      </c>
      <c r="I136" s="3">
        <v>0</v>
      </c>
      <c r="J136" s="3">
        <v>0.1</v>
      </c>
      <c r="K136" s="3">
        <v>2</v>
      </c>
      <c r="L136" s="3">
        <v>0</v>
      </c>
      <c r="M136" s="3">
        <v>3</v>
      </c>
      <c r="N136" s="3">
        <v>0</v>
      </c>
      <c r="O136" s="7">
        <f t="shared" si="13"/>
        <v>-2.5463730865</v>
      </c>
      <c r="P136" s="7">
        <f t="shared" si="14"/>
        <v>7.2670522815848806E-2</v>
      </c>
      <c r="Q136" s="7">
        <f t="shared" si="15"/>
        <v>0</v>
      </c>
      <c r="R136" s="3">
        <f t="shared" si="16"/>
        <v>0</v>
      </c>
      <c r="S136" s="3">
        <f t="shared" si="17"/>
        <v>0.92732947718415115</v>
      </c>
      <c r="T136" s="3">
        <f t="shared" si="18"/>
        <v>7.5446353495974006E-2</v>
      </c>
    </row>
    <row r="137" spans="1:20" x14ac:dyDescent="0.25">
      <c r="A137" s="3">
        <v>54</v>
      </c>
      <c r="B137" s="3">
        <v>1</v>
      </c>
      <c r="C137" s="3">
        <v>4</v>
      </c>
      <c r="D137" s="3">
        <v>122</v>
      </c>
      <c r="E137" s="3">
        <v>286</v>
      </c>
      <c r="F137" s="3">
        <v>0</v>
      </c>
      <c r="G137" s="3">
        <v>2</v>
      </c>
      <c r="H137" s="3">
        <v>116</v>
      </c>
      <c r="I137" s="3">
        <v>1</v>
      </c>
      <c r="J137" s="3">
        <v>3.2</v>
      </c>
      <c r="K137" s="3">
        <v>2</v>
      </c>
      <c r="L137" s="3">
        <v>2</v>
      </c>
      <c r="M137" s="3">
        <v>3</v>
      </c>
      <c r="N137" s="3">
        <v>1</v>
      </c>
      <c r="O137" s="7">
        <f t="shared" si="13"/>
        <v>4.3258782399999998</v>
      </c>
      <c r="P137" s="7">
        <f t="shared" si="14"/>
        <v>0.98695060525696821</v>
      </c>
      <c r="Q137" s="7">
        <f t="shared" si="15"/>
        <v>1</v>
      </c>
      <c r="R137" s="3">
        <f t="shared" si="16"/>
        <v>0</v>
      </c>
      <c r="S137" s="3">
        <f t="shared" si="17"/>
        <v>0.98695060525696821</v>
      </c>
      <c r="T137" s="3">
        <f t="shared" si="18"/>
        <v>1.3135286133317272E-2</v>
      </c>
    </row>
    <row r="138" spans="1:20" x14ac:dyDescent="0.25">
      <c r="A138" s="3">
        <v>56</v>
      </c>
      <c r="B138" s="3">
        <v>1</v>
      </c>
      <c r="C138" s="3">
        <v>4</v>
      </c>
      <c r="D138" s="3">
        <v>130</v>
      </c>
      <c r="E138" s="3">
        <v>283</v>
      </c>
      <c r="F138" s="3">
        <v>1</v>
      </c>
      <c r="G138" s="3">
        <v>2</v>
      </c>
      <c r="H138" s="3">
        <v>103</v>
      </c>
      <c r="I138" s="3">
        <v>1</v>
      </c>
      <c r="J138" s="3">
        <v>1.6</v>
      </c>
      <c r="K138" s="3">
        <v>3</v>
      </c>
      <c r="L138" s="3">
        <v>0</v>
      </c>
      <c r="M138" s="3">
        <v>7</v>
      </c>
      <c r="N138" s="3">
        <v>1</v>
      </c>
      <c r="O138" s="7">
        <f t="shared" si="13"/>
        <v>3.2131922330000009</v>
      </c>
      <c r="P138" s="7">
        <f t="shared" si="14"/>
        <v>0.96132771727525068</v>
      </c>
      <c r="Q138" s="7">
        <f t="shared" si="15"/>
        <v>1</v>
      </c>
      <c r="R138" s="3">
        <f t="shared" si="16"/>
        <v>0</v>
      </c>
      <c r="S138" s="3">
        <f t="shared" si="17"/>
        <v>0.96132771727525068</v>
      </c>
      <c r="T138" s="3">
        <f t="shared" si="18"/>
        <v>3.9439911209159205E-2</v>
      </c>
    </row>
    <row r="139" spans="1:20" x14ac:dyDescent="0.25">
      <c r="A139" s="3">
        <v>41</v>
      </c>
      <c r="B139" s="3">
        <v>0</v>
      </c>
      <c r="C139" s="3">
        <v>2</v>
      </c>
      <c r="D139" s="3">
        <v>126</v>
      </c>
      <c r="E139" s="3">
        <v>306</v>
      </c>
      <c r="F139" s="3">
        <v>0</v>
      </c>
      <c r="G139" s="3">
        <v>0</v>
      </c>
      <c r="H139" s="3">
        <v>163</v>
      </c>
      <c r="I139" s="3">
        <v>0</v>
      </c>
      <c r="J139" s="3">
        <v>0</v>
      </c>
      <c r="K139" s="3">
        <v>1</v>
      </c>
      <c r="L139" s="3">
        <v>0</v>
      </c>
      <c r="M139" s="3">
        <v>3</v>
      </c>
      <c r="N139" s="3">
        <v>0</v>
      </c>
      <c r="O139" s="7">
        <f t="shared" si="13"/>
        <v>-4.5280846670000008</v>
      </c>
      <c r="P139" s="7">
        <f t="shared" si="14"/>
        <v>1.0685922118962476E-2</v>
      </c>
      <c r="Q139" s="7">
        <f t="shared" si="15"/>
        <v>0</v>
      </c>
      <c r="R139" s="3">
        <f t="shared" si="16"/>
        <v>0</v>
      </c>
      <c r="S139" s="3">
        <f t="shared" si="17"/>
        <v>0.98931407788103753</v>
      </c>
      <c r="T139" s="3">
        <f t="shared" si="18"/>
        <v>1.0743426610633922E-2</v>
      </c>
    </row>
    <row r="140" spans="1:20" x14ac:dyDescent="0.25">
      <c r="A140" s="3">
        <v>67</v>
      </c>
      <c r="B140" s="3">
        <v>1</v>
      </c>
      <c r="C140" s="3">
        <v>4</v>
      </c>
      <c r="D140" s="3">
        <v>120</v>
      </c>
      <c r="E140" s="3">
        <v>237</v>
      </c>
      <c r="F140" s="3">
        <v>0</v>
      </c>
      <c r="G140" s="3">
        <v>0</v>
      </c>
      <c r="H140" s="3">
        <v>71</v>
      </c>
      <c r="I140" s="3">
        <v>0</v>
      </c>
      <c r="J140" s="3">
        <v>1</v>
      </c>
      <c r="K140" s="3">
        <v>2</v>
      </c>
      <c r="L140" s="3">
        <v>0</v>
      </c>
      <c r="M140" s="3">
        <v>3</v>
      </c>
      <c r="N140" s="3">
        <v>1</v>
      </c>
      <c r="O140" s="7">
        <f t="shared" si="13"/>
        <v>0.42429309099999912</v>
      </c>
      <c r="P140" s="7">
        <f t="shared" si="14"/>
        <v>0.6045100910701231</v>
      </c>
      <c r="Q140" s="7">
        <f t="shared" si="15"/>
        <v>1</v>
      </c>
      <c r="R140" s="3">
        <f t="shared" si="16"/>
        <v>0</v>
      </c>
      <c r="S140" s="3">
        <f t="shared" si="17"/>
        <v>0.6045100910701231</v>
      </c>
      <c r="T140" s="3">
        <f t="shared" si="18"/>
        <v>0.50333691581579643</v>
      </c>
    </row>
    <row r="141" spans="1:20" x14ac:dyDescent="0.25">
      <c r="A141" s="3">
        <v>43</v>
      </c>
      <c r="B141" s="3">
        <v>1</v>
      </c>
      <c r="C141" s="3">
        <v>4</v>
      </c>
      <c r="D141" s="3">
        <v>115</v>
      </c>
      <c r="E141" s="3">
        <v>303</v>
      </c>
      <c r="F141" s="3">
        <v>0</v>
      </c>
      <c r="G141" s="3">
        <v>0</v>
      </c>
      <c r="H141" s="3">
        <v>181</v>
      </c>
      <c r="I141" s="3">
        <v>0</v>
      </c>
      <c r="J141" s="3">
        <v>1.2</v>
      </c>
      <c r="K141" s="3">
        <v>2</v>
      </c>
      <c r="L141" s="3">
        <v>0</v>
      </c>
      <c r="M141" s="3">
        <v>3</v>
      </c>
      <c r="N141" s="3">
        <v>0</v>
      </c>
      <c r="O141" s="7">
        <f t="shared" si="13"/>
        <v>-1.5682080780000005</v>
      </c>
      <c r="P141" s="7">
        <f t="shared" si="14"/>
        <v>0.172471994445279</v>
      </c>
      <c r="Q141" s="7">
        <f t="shared" si="15"/>
        <v>0</v>
      </c>
      <c r="R141" s="3">
        <f t="shared" si="16"/>
        <v>0</v>
      </c>
      <c r="S141" s="3">
        <f t="shared" si="17"/>
        <v>0.82752800555472095</v>
      </c>
      <c r="T141" s="3">
        <f t="shared" si="18"/>
        <v>0.18931232873294004</v>
      </c>
    </row>
    <row r="142" spans="1:20" x14ac:dyDescent="0.25">
      <c r="A142" s="3">
        <v>76</v>
      </c>
      <c r="B142" s="3">
        <v>0</v>
      </c>
      <c r="C142" s="3">
        <v>3</v>
      </c>
      <c r="D142" s="3">
        <v>140</v>
      </c>
      <c r="E142" s="3">
        <v>197</v>
      </c>
      <c r="F142" s="3">
        <v>0</v>
      </c>
      <c r="G142" s="3">
        <v>1</v>
      </c>
      <c r="H142" s="3">
        <v>116</v>
      </c>
      <c r="I142" s="3">
        <v>0</v>
      </c>
      <c r="J142" s="3">
        <v>1.1000000000000001</v>
      </c>
      <c r="K142" s="3">
        <v>2</v>
      </c>
      <c r="L142" s="3">
        <v>0</v>
      </c>
      <c r="M142" s="3">
        <v>3</v>
      </c>
      <c r="N142" s="3">
        <v>0</v>
      </c>
      <c r="O142" s="7">
        <f t="shared" si="13"/>
        <v>-1.5852806215000008</v>
      </c>
      <c r="P142" s="7">
        <f t="shared" si="14"/>
        <v>0.17004891681531731</v>
      </c>
      <c r="Q142" s="7">
        <f t="shared" si="15"/>
        <v>0</v>
      </c>
      <c r="R142" s="3">
        <f t="shared" si="16"/>
        <v>0</v>
      </c>
      <c r="S142" s="3">
        <f t="shared" si="17"/>
        <v>0.82995108318468269</v>
      </c>
      <c r="T142" s="3">
        <f t="shared" si="18"/>
        <v>0.18638851585035218</v>
      </c>
    </row>
    <row r="143" spans="1:20" x14ac:dyDescent="0.25">
      <c r="A143" s="3">
        <v>40</v>
      </c>
      <c r="B143" s="3">
        <v>1</v>
      </c>
      <c r="C143" s="3">
        <v>4</v>
      </c>
      <c r="D143" s="3">
        <v>152</v>
      </c>
      <c r="E143" s="3">
        <v>223</v>
      </c>
      <c r="F143" s="3">
        <v>0</v>
      </c>
      <c r="G143" s="3">
        <v>0</v>
      </c>
      <c r="H143" s="3">
        <v>181</v>
      </c>
      <c r="I143" s="3">
        <v>0</v>
      </c>
      <c r="J143" s="3">
        <v>0</v>
      </c>
      <c r="K143" s="3">
        <v>1</v>
      </c>
      <c r="L143" s="3">
        <v>0</v>
      </c>
      <c r="M143" s="3">
        <v>7</v>
      </c>
      <c r="N143" s="3">
        <v>1</v>
      </c>
      <c r="O143" s="7">
        <f t="shared" si="13"/>
        <v>-0.50516372999999959</v>
      </c>
      <c r="P143" s="7">
        <f t="shared" si="14"/>
        <v>0.37632794263768116</v>
      </c>
      <c r="Q143" s="7">
        <f t="shared" si="15"/>
        <v>0</v>
      </c>
      <c r="R143" s="3">
        <f t="shared" si="16"/>
        <v>1</v>
      </c>
      <c r="S143" s="3">
        <f t="shared" si="17"/>
        <v>0.37632794263768116</v>
      </c>
      <c r="T143" s="3">
        <f t="shared" si="18"/>
        <v>0.97729432786088966</v>
      </c>
    </row>
    <row r="144" spans="1:20" x14ac:dyDescent="0.25">
      <c r="A144" s="3">
        <v>71</v>
      </c>
      <c r="B144" s="3">
        <v>0</v>
      </c>
      <c r="C144" s="3">
        <v>4</v>
      </c>
      <c r="D144" s="3">
        <v>112</v>
      </c>
      <c r="E144" s="3">
        <v>149</v>
      </c>
      <c r="F144" s="3">
        <v>0</v>
      </c>
      <c r="G144" s="3">
        <v>0</v>
      </c>
      <c r="H144" s="3">
        <v>125</v>
      </c>
      <c r="I144" s="3">
        <v>0</v>
      </c>
      <c r="J144" s="3">
        <v>1.6</v>
      </c>
      <c r="K144" s="3">
        <v>2</v>
      </c>
      <c r="L144" s="3">
        <v>0</v>
      </c>
      <c r="M144" s="3">
        <v>3</v>
      </c>
      <c r="N144" s="3">
        <v>0</v>
      </c>
      <c r="O144" s="7">
        <f t="shared" si="13"/>
        <v>-1.9945889490000015</v>
      </c>
      <c r="P144" s="7">
        <f t="shared" si="14"/>
        <v>0.11977221932250108</v>
      </c>
      <c r="Q144" s="7">
        <f t="shared" si="15"/>
        <v>0</v>
      </c>
      <c r="R144" s="3">
        <f t="shared" si="16"/>
        <v>0</v>
      </c>
      <c r="S144" s="3">
        <f t="shared" si="17"/>
        <v>0.88022778067749896</v>
      </c>
      <c r="T144" s="3">
        <f t="shared" si="18"/>
        <v>0.1275745633246366</v>
      </c>
    </row>
    <row r="145" spans="1:20" x14ac:dyDescent="0.25">
      <c r="A145" s="3">
        <v>39</v>
      </c>
      <c r="B145" s="3">
        <v>0</v>
      </c>
      <c r="C145" s="3">
        <v>3</v>
      </c>
      <c r="D145" s="3">
        <v>138</v>
      </c>
      <c r="E145" s="3">
        <v>220</v>
      </c>
      <c r="F145" s="3">
        <v>0</v>
      </c>
      <c r="G145" s="3">
        <v>0</v>
      </c>
      <c r="H145" s="3">
        <v>152</v>
      </c>
      <c r="I145" s="3">
        <v>0</v>
      </c>
      <c r="J145" s="3">
        <v>0</v>
      </c>
      <c r="K145" s="3">
        <v>2</v>
      </c>
      <c r="L145" s="3">
        <v>0</v>
      </c>
      <c r="M145" s="3">
        <v>3</v>
      </c>
      <c r="N145" s="3">
        <v>0</v>
      </c>
      <c r="O145" s="7">
        <f t="shared" si="13"/>
        <v>-2.4236952269999996</v>
      </c>
      <c r="P145" s="7">
        <f t="shared" si="14"/>
        <v>8.1383571552130177E-2</v>
      </c>
      <c r="Q145" s="7">
        <f t="shared" si="15"/>
        <v>0</v>
      </c>
      <c r="R145" s="3">
        <f t="shared" si="16"/>
        <v>0</v>
      </c>
      <c r="S145" s="3">
        <f t="shared" si="17"/>
        <v>0.91861642844786984</v>
      </c>
      <c r="T145" s="3">
        <f t="shared" si="18"/>
        <v>8.4886623026687646E-2</v>
      </c>
    </row>
    <row r="146" spans="1:20" x14ac:dyDescent="0.25">
      <c r="A146" s="3">
        <v>61</v>
      </c>
      <c r="B146" s="3">
        <v>1</v>
      </c>
      <c r="C146" s="3">
        <v>4</v>
      </c>
      <c r="D146" s="3">
        <v>148</v>
      </c>
      <c r="E146" s="3">
        <v>203</v>
      </c>
      <c r="F146" s="3">
        <v>0</v>
      </c>
      <c r="G146" s="3">
        <v>0</v>
      </c>
      <c r="H146" s="3">
        <v>161</v>
      </c>
      <c r="I146" s="3">
        <v>0</v>
      </c>
      <c r="J146" s="3">
        <v>0</v>
      </c>
      <c r="K146" s="3">
        <v>1</v>
      </c>
      <c r="L146" s="3">
        <v>1</v>
      </c>
      <c r="M146" s="3">
        <v>7</v>
      </c>
      <c r="N146" s="3">
        <v>1</v>
      </c>
      <c r="O146" s="7">
        <f t="shared" si="13"/>
        <v>0.91328047199999851</v>
      </c>
      <c r="P146" s="7">
        <f t="shared" si="14"/>
        <v>0.71367097946190217</v>
      </c>
      <c r="Q146" s="7">
        <f t="shared" si="15"/>
        <v>1</v>
      </c>
      <c r="R146" s="3">
        <f t="shared" si="16"/>
        <v>0</v>
      </c>
      <c r="S146" s="3">
        <f t="shared" si="17"/>
        <v>0.71367097946190217</v>
      </c>
      <c r="T146" s="3">
        <f t="shared" si="18"/>
        <v>0.33733323592809672</v>
      </c>
    </row>
    <row r="147" spans="1:20" x14ac:dyDescent="0.25">
      <c r="A147" s="3">
        <v>58</v>
      </c>
      <c r="B147" s="3">
        <v>0</v>
      </c>
      <c r="C147" s="3">
        <v>4</v>
      </c>
      <c r="D147" s="3">
        <v>170</v>
      </c>
      <c r="E147" s="3">
        <v>225</v>
      </c>
      <c r="F147" s="3">
        <v>1</v>
      </c>
      <c r="G147" s="3">
        <v>2</v>
      </c>
      <c r="H147" s="3">
        <v>146</v>
      </c>
      <c r="I147" s="3">
        <v>1</v>
      </c>
      <c r="J147" s="3">
        <v>2.8</v>
      </c>
      <c r="K147" s="3">
        <v>2</v>
      </c>
      <c r="L147" s="3">
        <v>2</v>
      </c>
      <c r="M147" s="3">
        <v>6</v>
      </c>
      <c r="N147" s="3">
        <v>1</v>
      </c>
      <c r="O147" s="7">
        <f t="shared" si="13"/>
        <v>4.3926874220000016</v>
      </c>
      <c r="P147" s="7">
        <f t="shared" si="14"/>
        <v>0.98778363726218688</v>
      </c>
      <c r="Q147" s="7">
        <f t="shared" si="15"/>
        <v>1</v>
      </c>
      <c r="R147" s="3">
        <f t="shared" si="16"/>
        <v>0</v>
      </c>
      <c r="S147" s="3">
        <f t="shared" si="17"/>
        <v>0.98778363726218688</v>
      </c>
      <c r="T147" s="3">
        <f t="shared" si="18"/>
        <v>1.2291595841534431E-2</v>
      </c>
    </row>
    <row r="148" spans="1:20" x14ac:dyDescent="0.25">
      <c r="A148" s="3">
        <v>55</v>
      </c>
      <c r="B148" s="3">
        <v>0</v>
      </c>
      <c r="C148" s="3">
        <v>2</v>
      </c>
      <c r="D148" s="3">
        <v>132</v>
      </c>
      <c r="E148" s="3">
        <v>342</v>
      </c>
      <c r="F148" s="3">
        <v>0</v>
      </c>
      <c r="G148" s="3">
        <v>0</v>
      </c>
      <c r="H148" s="3">
        <v>166</v>
      </c>
      <c r="I148" s="3">
        <v>0</v>
      </c>
      <c r="J148" s="3">
        <v>1.2</v>
      </c>
      <c r="K148" s="3">
        <v>1</v>
      </c>
      <c r="L148" s="3">
        <v>0</v>
      </c>
      <c r="M148" s="3">
        <v>3</v>
      </c>
      <c r="N148" s="3">
        <v>0</v>
      </c>
      <c r="O148" s="7">
        <f t="shared" si="13"/>
        <v>-4.2006485970000007</v>
      </c>
      <c r="P148" s="7">
        <f t="shared" si="14"/>
        <v>1.4764593841786099E-2</v>
      </c>
      <c r="Q148" s="7">
        <f t="shared" si="15"/>
        <v>0</v>
      </c>
      <c r="R148" s="3">
        <f t="shared" si="16"/>
        <v>0</v>
      </c>
      <c r="S148" s="3">
        <f t="shared" si="17"/>
        <v>0.98523540615821392</v>
      </c>
      <c r="T148" s="3">
        <f t="shared" si="18"/>
        <v>1.4874675340286098E-2</v>
      </c>
    </row>
    <row r="149" spans="1:20" x14ac:dyDescent="0.25">
      <c r="A149" s="3">
        <v>44</v>
      </c>
      <c r="B149" s="3">
        <v>1</v>
      </c>
      <c r="C149" s="3">
        <v>4</v>
      </c>
      <c r="D149" s="3">
        <v>120</v>
      </c>
      <c r="E149" s="3">
        <v>169</v>
      </c>
      <c r="F149" s="3">
        <v>0</v>
      </c>
      <c r="G149" s="3">
        <v>0</v>
      </c>
      <c r="H149" s="3">
        <v>144</v>
      </c>
      <c r="I149" s="3">
        <v>1</v>
      </c>
      <c r="J149" s="3">
        <v>2.8</v>
      </c>
      <c r="K149" s="3">
        <v>3</v>
      </c>
      <c r="L149" s="3">
        <v>0</v>
      </c>
      <c r="M149" s="3">
        <v>6</v>
      </c>
      <c r="N149" s="3">
        <v>1</v>
      </c>
      <c r="O149" s="7">
        <f t="shared" si="13"/>
        <v>1.8859522969999993</v>
      </c>
      <c r="P149" s="7">
        <f t="shared" si="14"/>
        <v>0.86829332479807919</v>
      </c>
      <c r="Q149" s="7">
        <f t="shared" si="15"/>
        <v>1</v>
      </c>
      <c r="R149" s="3">
        <f t="shared" si="16"/>
        <v>0</v>
      </c>
      <c r="S149" s="3">
        <f t="shared" si="17"/>
        <v>0.86829332479807919</v>
      </c>
      <c r="T149" s="3">
        <f t="shared" si="18"/>
        <v>0.14122568961285337</v>
      </c>
    </row>
    <row r="150" spans="1:20" x14ac:dyDescent="0.25">
      <c r="A150" s="3">
        <v>59</v>
      </c>
      <c r="B150" s="3">
        <v>1</v>
      </c>
      <c r="C150" s="3">
        <v>4</v>
      </c>
      <c r="D150" s="3">
        <v>164</v>
      </c>
      <c r="E150" s="3">
        <v>176</v>
      </c>
      <c r="F150" s="3">
        <v>1</v>
      </c>
      <c r="G150" s="3">
        <v>2</v>
      </c>
      <c r="H150" s="3">
        <v>90</v>
      </c>
      <c r="I150" s="3">
        <v>0</v>
      </c>
      <c r="J150" s="3">
        <v>1</v>
      </c>
      <c r="K150" s="3">
        <v>2</v>
      </c>
      <c r="L150" s="3">
        <v>2</v>
      </c>
      <c r="M150" s="3">
        <v>6</v>
      </c>
      <c r="N150" s="3">
        <v>1</v>
      </c>
      <c r="O150" s="7">
        <f t="shared" si="13"/>
        <v>5.02351101</v>
      </c>
      <c r="P150" s="7">
        <f t="shared" si="14"/>
        <v>0.99346165253145702</v>
      </c>
      <c r="Q150" s="7">
        <f t="shared" si="15"/>
        <v>1</v>
      </c>
      <c r="R150" s="3">
        <f t="shared" si="16"/>
        <v>0</v>
      </c>
      <c r="S150" s="3">
        <f t="shared" si="17"/>
        <v>0.99346165253145702</v>
      </c>
      <c r="T150" s="3">
        <f t="shared" si="18"/>
        <v>6.5598160930704285E-3</v>
      </c>
    </row>
    <row r="151" spans="1:20" x14ac:dyDescent="0.25">
      <c r="A151" s="3">
        <v>57</v>
      </c>
      <c r="B151" s="3">
        <v>1</v>
      </c>
      <c r="C151" s="3">
        <v>4</v>
      </c>
      <c r="D151" s="3">
        <v>130</v>
      </c>
      <c r="E151" s="3">
        <v>131</v>
      </c>
      <c r="F151" s="3">
        <v>0</v>
      </c>
      <c r="G151" s="3">
        <v>0</v>
      </c>
      <c r="H151" s="3">
        <v>115</v>
      </c>
      <c r="I151" s="3">
        <v>1</v>
      </c>
      <c r="J151" s="3">
        <v>1.2</v>
      </c>
      <c r="K151" s="3">
        <v>2</v>
      </c>
      <c r="L151" s="3">
        <v>1</v>
      </c>
      <c r="M151" s="3">
        <v>7</v>
      </c>
      <c r="N151" s="3">
        <v>1</v>
      </c>
      <c r="O151" s="7">
        <f t="shared" si="13"/>
        <v>3.0535995449999991</v>
      </c>
      <c r="P151" s="7">
        <f t="shared" si="14"/>
        <v>0.95493767499877347</v>
      </c>
      <c r="Q151" s="7">
        <f t="shared" si="15"/>
        <v>1</v>
      </c>
      <c r="R151" s="3">
        <f t="shared" si="16"/>
        <v>0</v>
      </c>
      <c r="S151" s="3">
        <f t="shared" si="17"/>
        <v>0.95493767499877347</v>
      </c>
      <c r="T151" s="3">
        <f t="shared" si="18"/>
        <v>4.6109202412438557E-2</v>
      </c>
    </row>
    <row r="152" spans="1:20" x14ac:dyDescent="0.25">
      <c r="A152" s="3">
        <v>63</v>
      </c>
      <c r="B152" s="3">
        <v>1</v>
      </c>
      <c r="C152" s="3">
        <v>4</v>
      </c>
      <c r="D152" s="3">
        <v>130</v>
      </c>
      <c r="E152" s="3">
        <v>254</v>
      </c>
      <c r="F152" s="3">
        <v>0</v>
      </c>
      <c r="G152" s="3">
        <v>2</v>
      </c>
      <c r="H152" s="3">
        <v>147</v>
      </c>
      <c r="I152" s="3">
        <v>0</v>
      </c>
      <c r="J152" s="3">
        <v>1.4</v>
      </c>
      <c r="K152" s="3">
        <v>2</v>
      </c>
      <c r="L152" s="3">
        <v>1</v>
      </c>
      <c r="M152" s="3">
        <v>7</v>
      </c>
      <c r="N152" s="3">
        <v>1</v>
      </c>
      <c r="O152" s="7">
        <f t="shared" si="13"/>
        <v>2.408277146999998</v>
      </c>
      <c r="P152" s="7">
        <f t="shared" si="14"/>
        <v>0.91745630361261976</v>
      </c>
      <c r="Q152" s="7">
        <f t="shared" si="15"/>
        <v>1</v>
      </c>
      <c r="R152" s="3">
        <f t="shared" si="16"/>
        <v>0</v>
      </c>
      <c r="S152" s="3">
        <f t="shared" si="17"/>
        <v>0.91745630361261976</v>
      </c>
      <c r="T152" s="3">
        <f t="shared" si="18"/>
        <v>8.6150325677874076E-2</v>
      </c>
    </row>
    <row r="153" spans="1:20" x14ac:dyDescent="0.25">
      <c r="A153" s="3">
        <v>44</v>
      </c>
      <c r="B153" s="3">
        <v>1</v>
      </c>
      <c r="C153" s="3">
        <v>2</v>
      </c>
      <c r="D153" s="3">
        <v>120</v>
      </c>
      <c r="E153" s="3">
        <v>263</v>
      </c>
      <c r="F153" s="3">
        <v>0</v>
      </c>
      <c r="G153" s="3">
        <v>0</v>
      </c>
      <c r="H153" s="3">
        <v>173</v>
      </c>
      <c r="I153" s="3">
        <v>0</v>
      </c>
      <c r="J153" s="3">
        <v>0</v>
      </c>
      <c r="K153" s="3">
        <v>1</v>
      </c>
      <c r="L153" s="3">
        <v>0</v>
      </c>
      <c r="M153" s="3">
        <v>7</v>
      </c>
      <c r="N153" s="3">
        <v>0</v>
      </c>
      <c r="O153" s="7">
        <f t="shared" si="13"/>
        <v>-2.9400400600000012</v>
      </c>
      <c r="P153" s="7">
        <f t="shared" si="14"/>
        <v>5.0209362759234433E-2</v>
      </c>
      <c r="Q153" s="7">
        <f t="shared" si="15"/>
        <v>0</v>
      </c>
      <c r="R153" s="3">
        <f t="shared" si="16"/>
        <v>0</v>
      </c>
      <c r="S153" s="3">
        <f t="shared" si="17"/>
        <v>0.94979063724076562</v>
      </c>
      <c r="T153" s="3">
        <f t="shared" si="18"/>
        <v>5.151370052702494E-2</v>
      </c>
    </row>
    <row r="154" spans="1:20" x14ac:dyDescent="0.25">
      <c r="A154" s="3">
        <v>58</v>
      </c>
      <c r="B154" s="3">
        <v>0</v>
      </c>
      <c r="C154" s="3">
        <v>3</v>
      </c>
      <c r="D154" s="3">
        <v>120</v>
      </c>
      <c r="E154" s="3">
        <v>340</v>
      </c>
      <c r="F154" s="3">
        <v>0</v>
      </c>
      <c r="G154" s="3">
        <v>0</v>
      </c>
      <c r="H154" s="3">
        <v>172</v>
      </c>
      <c r="I154" s="3">
        <v>0</v>
      </c>
      <c r="J154" s="3">
        <v>0</v>
      </c>
      <c r="K154" s="3">
        <v>1</v>
      </c>
      <c r="L154" s="3">
        <v>0</v>
      </c>
      <c r="M154" s="3">
        <v>3</v>
      </c>
      <c r="N154" s="3">
        <v>0</v>
      </c>
      <c r="O154" s="7">
        <f t="shared" si="13"/>
        <v>-4.175652781000001</v>
      </c>
      <c r="P154" s="7">
        <f t="shared" si="14"/>
        <v>1.5132642844427214E-2</v>
      </c>
      <c r="Q154" s="7">
        <f t="shared" si="15"/>
        <v>0</v>
      </c>
      <c r="R154" s="3">
        <f t="shared" si="16"/>
        <v>0</v>
      </c>
      <c r="S154" s="3">
        <f t="shared" si="17"/>
        <v>0.98486735715557283</v>
      </c>
      <c r="T154" s="3">
        <f t="shared" si="18"/>
        <v>1.5248309664115721E-2</v>
      </c>
    </row>
    <row r="155" spans="1:20" x14ac:dyDescent="0.25">
      <c r="A155" s="3">
        <v>66</v>
      </c>
      <c r="B155" s="3">
        <v>0</v>
      </c>
      <c r="C155" s="3">
        <v>1</v>
      </c>
      <c r="D155" s="3">
        <v>150</v>
      </c>
      <c r="E155" s="3">
        <v>226</v>
      </c>
      <c r="F155" s="3">
        <v>0</v>
      </c>
      <c r="G155" s="3">
        <v>0</v>
      </c>
      <c r="H155" s="3">
        <v>114</v>
      </c>
      <c r="I155" s="3">
        <v>0</v>
      </c>
      <c r="J155" s="3">
        <v>2.6</v>
      </c>
      <c r="K155" s="3">
        <v>3</v>
      </c>
      <c r="L155" s="3">
        <v>0</v>
      </c>
      <c r="M155" s="3">
        <v>3</v>
      </c>
      <c r="N155" s="3">
        <v>0</v>
      </c>
      <c r="O155" s="7">
        <f t="shared" si="13"/>
        <v>-1.7587208880000009</v>
      </c>
      <c r="P155" s="7">
        <f t="shared" si="14"/>
        <v>0.14695061193191075</v>
      </c>
      <c r="Q155" s="7">
        <f t="shared" si="15"/>
        <v>0</v>
      </c>
      <c r="R155" s="3">
        <f t="shared" si="16"/>
        <v>0</v>
      </c>
      <c r="S155" s="3">
        <f t="shared" si="17"/>
        <v>0.85304938806808928</v>
      </c>
      <c r="T155" s="3">
        <f t="shared" si="18"/>
        <v>0.1589378339073651</v>
      </c>
    </row>
    <row r="156" spans="1:20" x14ac:dyDescent="0.25">
      <c r="A156" s="3">
        <v>64</v>
      </c>
      <c r="B156" s="3">
        <v>1</v>
      </c>
      <c r="C156" s="3">
        <v>3</v>
      </c>
      <c r="D156" s="3">
        <v>140</v>
      </c>
      <c r="E156" s="3">
        <v>335</v>
      </c>
      <c r="F156" s="3">
        <v>0</v>
      </c>
      <c r="G156" s="3">
        <v>0</v>
      </c>
      <c r="H156" s="3">
        <v>158</v>
      </c>
      <c r="I156" s="3">
        <v>0</v>
      </c>
      <c r="J156" s="3">
        <v>0</v>
      </c>
      <c r="K156" s="3">
        <v>1</v>
      </c>
      <c r="L156" s="3">
        <v>0</v>
      </c>
      <c r="M156" s="3">
        <v>3</v>
      </c>
      <c r="N156" s="3">
        <v>1</v>
      </c>
      <c r="O156" s="7">
        <f t="shared" si="13"/>
        <v>-2.4310837749999994</v>
      </c>
      <c r="P156" s="7">
        <f t="shared" si="14"/>
        <v>8.0832907283573438E-2</v>
      </c>
      <c r="Q156" s="7">
        <f t="shared" si="15"/>
        <v>0</v>
      </c>
      <c r="R156" s="3">
        <f t="shared" si="16"/>
        <v>1</v>
      </c>
      <c r="S156" s="3">
        <f t="shared" si="17"/>
        <v>8.0832907283573438E-2</v>
      </c>
      <c r="T156" s="3">
        <f t="shared" si="18"/>
        <v>2.5153711280052784</v>
      </c>
    </row>
    <row r="157" spans="1:20" x14ac:dyDescent="0.25">
      <c r="A157" s="3">
        <v>57</v>
      </c>
      <c r="B157" s="3">
        <v>1</v>
      </c>
      <c r="C157" s="3">
        <v>4</v>
      </c>
      <c r="D157" s="3">
        <v>150</v>
      </c>
      <c r="E157" s="3">
        <v>276</v>
      </c>
      <c r="F157" s="3">
        <v>0</v>
      </c>
      <c r="G157" s="3">
        <v>2</v>
      </c>
      <c r="H157" s="3">
        <v>112</v>
      </c>
      <c r="I157" s="3">
        <v>1</v>
      </c>
      <c r="J157" s="3">
        <v>0.6</v>
      </c>
      <c r="K157" s="3">
        <v>2</v>
      </c>
      <c r="L157" s="3">
        <v>1</v>
      </c>
      <c r="M157" s="3">
        <v>6</v>
      </c>
      <c r="N157" s="3">
        <v>1</v>
      </c>
      <c r="O157" s="7">
        <f t="shared" si="13"/>
        <v>4.1306619079999987</v>
      </c>
      <c r="P157" s="7">
        <f t="shared" si="14"/>
        <v>0.98418199378530946</v>
      </c>
      <c r="Q157" s="7">
        <f t="shared" si="15"/>
        <v>1</v>
      </c>
      <c r="R157" s="3">
        <f t="shared" si="16"/>
        <v>0</v>
      </c>
      <c r="S157" s="3">
        <f t="shared" si="17"/>
        <v>0.98418199378530946</v>
      </c>
      <c r="T157" s="3">
        <f t="shared" si="18"/>
        <v>1.5944445997736274E-2</v>
      </c>
    </row>
    <row r="158" spans="1:20" x14ac:dyDescent="0.25">
      <c r="A158" s="3">
        <v>40</v>
      </c>
      <c r="B158" s="3">
        <v>1</v>
      </c>
      <c r="C158" s="3">
        <v>1</v>
      </c>
      <c r="D158" s="3">
        <v>140</v>
      </c>
      <c r="E158" s="3">
        <v>199</v>
      </c>
      <c r="F158" s="3">
        <v>0</v>
      </c>
      <c r="G158" s="3">
        <v>0</v>
      </c>
      <c r="H158" s="3">
        <v>178</v>
      </c>
      <c r="I158" s="3">
        <v>1</v>
      </c>
      <c r="J158" s="3">
        <v>1.4</v>
      </c>
      <c r="K158" s="3">
        <v>1</v>
      </c>
      <c r="L158" s="3">
        <v>0</v>
      </c>
      <c r="M158" s="3">
        <v>7</v>
      </c>
      <c r="N158" s="3">
        <v>0</v>
      </c>
      <c r="O158" s="7">
        <f t="shared" si="13"/>
        <v>-2.323210608000001</v>
      </c>
      <c r="P158" s="7">
        <f t="shared" si="14"/>
        <v>8.9218824789745174E-2</v>
      </c>
      <c r="Q158" s="7">
        <f t="shared" si="15"/>
        <v>0</v>
      </c>
      <c r="R158" s="3">
        <f t="shared" si="16"/>
        <v>0</v>
      </c>
      <c r="S158" s="3">
        <f t="shared" si="17"/>
        <v>0.91078117521025481</v>
      </c>
      <c r="T158" s="3">
        <f t="shared" si="18"/>
        <v>9.345261341825202E-2</v>
      </c>
    </row>
    <row r="159" spans="1:20" x14ac:dyDescent="0.25">
      <c r="A159" s="3">
        <v>41</v>
      </c>
      <c r="B159" s="3">
        <v>0</v>
      </c>
      <c r="C159" s="3">
        <v>2</v>
      </c>
      <c r="D159" s="3">
        <v>105</v>
      </c>
      <c r="E159" s="3">
        <v>198</v>
      </c>
      <c r="F159" s="3">
        <v>0</v>
      </c>
      <c r="G159" s="3">
        <v>0</v>
      </c>
      <c r="H159" s="3">
        <v>168</v>
      </c>
      <c r="I159" s="3">
        <v>0</v>
      </c>
      <c r="J159" s="3">
        <v>0</v>
      </c>
      <c r="K159" s="3">
        <v>1</v>
      </c>
      <c r="L159" s="3">
        <v>1</v>
      </c>
      <c r="M159" s="3">
        <v>3</v>
      </c>
      <c r="N159" s="3">
        <v>0</v>
      </c>
      <c r="O159" s="7">
        <f t="shared" si="13"/>
        <v>-4.1430834600000015</v>
      </c>
      <c r="P159" s="7">
        <f t="shared" si="14"/>
        <v>1.5625788540739802E-2</v>
      </c>
      <c r="Q159" s="7">
        <f t="shared" si="15"/>
        <v>0</v>
      </c>
      <c r="R159" s="3">
        <f t="shared" si="16"/>
        <v>0</v>
      </c>
      <c r="S159" s="3">
        <f t="shared" si="17"/>
        <v>0.98437421145926018</v>
      </c>
      <c r="T159" s="3">
        <f t="shared" si="18"/>
        <v>1.5749158025719509E-2</v>
      </c>
    </row>
    <row r="160" spans="1:20" x14ac:dyDescent="0.25">
      <c r="A160" s="3">
        <v>65</v>
      </c>
      <c r="B160" s="3">
        <v>1</v>
      </c>
      <c r="C160" s="3">
        <v>4</v>
      </c>
      <c r="D160" s="3">
        <v>120</v>
      </c>
      <c r="E160" s="3">
        <v>177</v>
      </c>
      <c r="F160" s="3">
        <v>0</v>
      </c>
      <c r="G160" s="3">
        <v>0</v>
      </c>
      <c r="H160" s="3">
        <v>140</v>
      </c>
      <c r="I160" s="3">
        <v>0</v>
      </c>
      <c r="J160" s="3">
        <v>0.4</v>
      </c>
      <c r="K160" s="3">
        <v>1</v>
      </c>
      <c r="L160" s="3">
        <v>0</v>
      </c>
      <c r="M160" s="3">
        <v>7</v>
      </c>
      <c r="N160" s="3">
        <v>0</v>
      </c>
      <c r="O160" s="7">
        <f t="shared" si="13"/>
        <v>-0.93388476500000017</v>
      </c>
      <c r="P160" s="7">
        <f t="shared" si="14"/>
        <v>0.28213724496131853</v>
      </c>
      <c r="Q160" s="7">
        <f t="shared" si="15"/>
        <v>0</v>
      </c>
      <c r="R160" s="3">
        <f t="shared" si="16"/>
        <v>0</v>
      </c>
      <c r="S160" s="3">
        <f t="shared" si="17"/>
        <v>0.71786275503868147</v>
      </c>
      <c r="T160" s="3">
        <f t="shared" si="18"/>
        <v>0.33147687717640156</v>
      </c>
    </row>
    <row r="161" spans="1:20" x14ac:dyDescent="0.25">
      <c r="A161" s="3">
        <v>41</v>
      </c>
      <c r="B161" s="3">
        <v>1</v>
      </c>
      <c r="C161" s="3">
        <v>4</v>
      </c>
      <c r="D161" s="3">
        <v>110</v>
      </c>
      <c r="E161" s="3">
        <v>172</v>
      </c>
      <c r="F161" s="3">
        <v>0</v>
      </c>
      <c r="G161" s="3">
        <v>2</v>
      </c>
      <c r="H161" s="3">
        <v>158</v>
      </c>
      <c r="I161" s="3">
        <v>0</v>
      </c>
      <c r="J161" s="3">
        <v>0</v>
      </c>
      <c r="K161" s="3">
        <v>1</v>
      </c>
      <c r="L161" s="3">
        <v>0</v>
      </c>
      <c r="M161" s="3">
        <v>7</v>
      </c>
      <c r="N161" s="3">
        <v>1</v>
      </c>
      <c r="O161" s="7">
        <f t="shared" si="13"/>
        <v>-0.97858868199999982</v>
      </c>
      <c r="P161" s="7">
        <f t="shared" si="14"/>
        <v>0.27317190973880917</v>
      </c>
      <c r="Q161" s="7">
        <f t="shared" si="15"/>
        <v>0</v>
      </c>
      <c r="R161" s="3">
        <f t="shared" si="16"/>
        <v>1</v>
      </c>
      <c r="S161" s="3">
        <f t="shared" si="17"/>
        <v>0.27317190973880917</v>
      </c>
      <c r="T161" s="3">
        <f t="shared" si="18"/>
        <v>1.2976539759758454</v>
      </c>
    </row>
    <row r="162" spans="1:20" x14ac:dyDescent="0.25">
      <c r="A162" s="3">
        <v>60</v>
      </c>
      <c r="B162" s="3">
        <v>1</v>
      </c>
      <c r="C162" s="3">
        <v>4</v>
      </c>
      <c r="D162" s="3">
        <v>145</v>
      </c>
      <c r="E162" s="3">
        <v>282</v>
      </c>
      <c r="F162" s="3">
        <v>0</v>
      </c>
      <c r="G162" s="3">
        <v>2</v>
      </c>
      <c r="H162" s="3">
        <v>142</v>
      </c>
      <c r="I162" s="3">
        <v>1</v>
      </c>
      <c r="J162" s="3">
        <v>2.8</v>
      </c>
      <c r="K162" s="3">
        <v>2</v>
      </c>
      <c r="L162" s="3">
        <v>2</v>
      </c>
      <c r="M162" s="3">
        <v>7</v>
      </c>
      <c r="N162" s="3">
        <v>1</v>
      </c>
      <c r="O162" s="7">
        <f t="shared" si="13"/>
        <v>5.5348025979999989</v>
      </c>
      <c r="P162" s="7">
        <f t="shared" si="14"/>
        <v>0.99606852976232352</v>
      </c>
      <c r="Q162" s="7">
        <f t="shared" si="15"/>
        <v>1</v>
      </c>
      <c r="R162" s="3">
        <f t="shared" si="16"/>
        <v>0</v>
      </c>
      <c r="S162" s="3">
        <f t="shared" si="17"/>
        <v>0.99606852976232352</v>
      </c>
      <c r="T162" s="3">
        <f t="shared" si="18"/>
        <v>3.9392187822405098E-3</v>
      </c>
    </row>
    <row r="163" spans="1:20" x14ac:dyDescent="0.25">
      <c r="A163" s="3">
        <v>46</v>
      </c>
      <c r="B163" s="3">
        <v>1</v>
      </c>
      <c r="C163" s="3">
        <v>3</v>
      </c>
      <c r="D163" s="3">
        <v>150</v>
      </c>
      <c r="E163" s="3">
        <v>231</v>
      </c>
      <c r="F163" s="3">
        <v>0</v>
      </c>
      <c r="G163" s="3">
        <v>0</v>
      </c>
      <c r="H163" s="3">
        <v>147</v>
      </c>
      <c r="I163" s="3">
        <v>0</v>
      </c>
      <c r="J163" s="3">
        <v>3.6</v>
      </c>
      <c r="K163" s="3">
        <v>2</v>
      </c>
      <c r="L163" s="3">
        <v>0</v>
      </c>
      <c r="M163" s="3">
        <v>3</v>
      </c>
      <c r="N163" s="3">
        <v>1</v>
      </c>
      <c r="O163" s="7">
        <f t="shared" si="13"/>
        <v>-0.26912514999999892</v>
      </c>
      <c r="P163" s="7">
        <f t="shared" si="14"/>
        <v>0.43312188202759211</v>
      </c>
      <c r="Q163" s="7">
        <f t="shared" si="15"/>
        <v>0</v>
      </c>
      <c r="R163" s="3">
        <f t="shared" si="16"/>
        <v>1</v>
      </c>
      <c r="S163" s="3">
        <f t="shared" si="17"/>
        <v>0.43312188202759211</v>
      </c>
      <c r="T163" s="3">
        <f t="shared" si="18"/>
        <v>0.8367361078457749</v>
      </c>
    </row>
    <row r="164" spans="1:20" x14ac:dyDescent="0.25">
      <c r="A164" s="3">
        <v>67</v>
      </c>
      <c r="B164" s="3">
        <v>1</v>
      </c>
      <c r="C164" s="3">
        <v>4</v>
      </c>
      <c r="D164" s="3">
        <v>125</v>
      </c>
      <c r="E164" s="3">
        <v>254</v>
      </c>
      <c r="F164" s="3">
        <v>1</v>
      </c>
      <c r="G164" s="3">
        <v>0</v>
      </c>
      <c r="H164" s="3">
        <v>163</v>
      </c>
      <c r="I164" s="3">
        <v>0</v>
      </c>
      <c r="J164" s="3">
        <v>0.2</v>
      </c>
      <c r="K164" s="3">
        <v>2</v>
      </c>
      <c r="L164" s="3">
        <v>2</v>
      </c>
      <c r="M164" s="3">
        <v>7</v>
      </c>
      <c r="N164" s="3">
        <v>1</v>
      </c>
      <c r="O164" s="7">
        <f t="shared" si="13"/>
        <v>2.0272159629999962</v>
      </c>
      <c r="P164" s="7">
        <f t="shared" si="14"/>
        <v>0.88362509605583361</v>
      </c>
      <c r="Q164" s="7">
        <f t="shared" si="15"/>
        <v>1</v>
      </c>
      <c r="R164" s="3">
        <f t="shared" si="16"/>
        <v>0</v>
      </c>
      <c r="S164" s="3">
        <f t="shared" si="17"/>
        <v>0.88362509605583361</v>
      </c>
      <c r="T164" s="3">
        <f t="shared" si="18"/>
        <v>0.12372240578446536</v>
      </c>
    </row>
    <row r="165" spans="1:20" x14ac:dyDescent="0.25">
      <c r="A165" s="3">
        <v>58</v>
      </c>
      <c r="B165" s="3">
        <v>1</v>
      </c>
      <c r="C165" s="3">
        <v>4</v>
      </c>
      <c r="D165" s="3">
        <v>150</v>
      </c>
      <c r="E165" s="3">
        <v>270</v>
      </c>
      <c r="F165" s="3">
        <v>0</v>
      </c>
      <c r="G165" s="3">
        <v>2</v>
      </c>
      <c r="H165" s="3">
        <v>111</v>
      </c>
      <c r="I165" s="3">
        <v>1</v>
      </c>
      <c r="J165" s="3">
        <v>0.8</v>
      </c>
      <c r="K165" s="3">
        <v>1</v>
      </c>
      <c r="L165" s="3">
        <v>0</v>
      </c>
      <c r="M165" s="3">
        <v>7</v>
      </c>
      <c r="N165" s="3">
        <v>1</v>
      </c>
      <c r="O165" s="7">
        <f t="shared" si="13"/>
        <v>2.2115893769999975</v>
      </c>
      <c r="P165" s="7">
        <f t="shared" si="14"/>
        <v>0.90128542392329514</v>
      </c>
      <c r="Q165" s="7">
        <f t="shared" si="15"/>
        <v>1</v>
      </c>
      <c r="R165" s="3">
        <f t="shared" si="16"/>
        <v>0</v>
      </c>
      <c r="S165" s="3">
        <f t="shared" si="17"/>
        <v>0.90128542392329514</v>
      </c>
      <c r="T165" s="3">
        <f t="shared" si="18"/>
        <v>0.1039332858313677</v>
      </c>
    </row>
    <row r="166" spans="1:20" x14ac:dyDescent="0.25">
      <c r="A166" s="3">
        <v>45</v>
      </c>
      <c r="B166" s="3">
        <v>1</v>
      </c>
      <c r="C166" s="3">
        <v>4</v>
      </c>
      <c r="D166" s="3">
        <v>104</v>
      </c>
      <c r="E166" s="3">
        <v>208</v>
      </c>
      <c r="F166" s="3">
        <v>0</v>
      </c>
      <c r="G166" s="3">
        <v>2</v>
      </c>
      <c r="H166" s="3">
        <v>148</v>
      </c>
      <c r="I166" s="3">
        <v>1</v>
      </c>
      <c r="J166" s="3">
        <v>3</v>
      </c>
      <c r="K166" s="3">
        <v>2</v>
      </c>
      <c r="L166" s="3">
        <v>0</v>
      </c>
      <c r="M166" s="3">
        <v>3</v>
      </c>
      <c r="N166" s="3">
        <v>0</v>
      </c>
      <c r="O166" s="7">
        <f t="shared" si="13"/>
        <v>0.14878932999999961</v>
      </c>
      <c r="P166" s="7">
        <f t="shared" si="14"/>
        <v>0.53712886038190755</v>
      </c>
      <c r="Q166" s="7">
        <f t="shared" si="15"/>
        <v>1</v>
      </c>
      <c r="R166" s="3">
        <f t="shared" si="16"/>
        <v>1</v>
      </c>
      <c r="S166" s="3">
        <f t="shared" si="17"/>
        <v>0.46287113961809245</v>
      </c>
      <c r="T166" s="3">
        <f t="shared" si="18"/>
        <v>0.77030657979266048</v>
      </c>
    </row>
    <row r="167" spans="1:20" x14ac:dyDescent="0.25">
      <c r="A167" s="3">
        <v>53</v>
      </c>
      <c r="B167" s="3">
        <v>0</v>
      </c>
      <c r="C167" s="3">
        <v>4</v>
      </c>
      <c r="D167" s="3">
        <v>130</v>
      </c>
      <c r="E167" s="3">
        <v>264</v>
      </c>
      <c r="F167" s="3">
        <v>0</v>
      </c>
      <c r="G167" s="3">
        <v>2</v>
      </c>
      <c r="H167" s="3">
        <v>143</v>
      </c>
      <c r="I167" s="3">
        <v>0</v>
      </c>
      <c r="J167" s="3">
        <v>0.4</v>
      </c>
      <c r="K167" s="3">
        <v>2</v>
      </c>
      <c r="L167" s="3">
        <v>0</v>
      </c>
      <c r="M167" s="3">
        <v>3</v>
      </c>
      <c r="N167" s="3">
        <v>0</v>
      </c>
      <c r="O167" s="7">
        <f t="shared" si="13"/>
        <v>-1.127133564000002</v>
      </c>
      <c r="P167" s="7">
        <f t="shared" si="14"/>
        <v>0.24469047937027721</v>
      </c>
      <c r="Q167" s="7">
        <f t="shared" si="15"/>
        <v>0</v>
      </c>
      <c r="R167" s="3">
        <f t="shared" si="16"/>
        <v>0</v>
      </c>
      <c r="S167" s="3">
        <f t="shared" si="17"/>
        <v>0.75530952062972279</v>
      </c>
      <c r="T167" s="3">
        <f t="shared" si="18"/>
        <v>0.28062765264523304</v>
      </c>
    </row>
    <row r="168" spans="1:20" x14ac:dyDescent="0.25">
      <c r="A168" s="3">
        <v>47</v>
      </c>
      <c r="B168" s="3">
        <v>1</v>
      </c>
      <c r="C168" s="3">
        <v>3</v>
      </c>
      <c r="D168" s="3">
        <v>138</v>
      </c>
      <c r="E168" s="3">
        <v>257</v>
      </c>
      <c r="F168" s="3">
        <v>0</v>
      </c>
      <c r="G168" s="3">
        <v>2</v>
      </c>
      <c r="H168" s="3">
        <v>156</v>
      </c>
      <c r="I168" s="3">
        <v>0</v>
      </c>
      <c r="J168" s="3">
        <v>0</v>
      </c>
      <c r="K168" s="3">
        <v>1</v>
      </c>
      <c r="L168" s="3">
        <v>0</v>
      </c>
      <c r="M168" s="3">
        <v>3</v>
      </c>
      <c r="N168" s="3">
        <v>0</v>
      </c>
      <c r="O168" s="7">
        <f t="shared" si="13"/>
        <v>-1.974492166000001</v>
      </c>
      <c r="P168" s="7">
        <f t="shared" si="14"/>
        <v>0.12190720184765931</v>
      </c>
      <c r="Q168" s="7">
        <f t="shared" si="15"/>
        <v>0</v>
      </c>
      <c r="R168" s="3">
        <f t="shared" si="16"/>
        <v>0</v>
      </c>
      <c r="S168" s="3">
        <f t="shared" si="17"/>
        <v>0.87809279815234065</v>
      </c>
      <c r="T168" s="3">
        <f t="shared" si="18"/>
        <v>0.13000299827567124</v>
      </c>
    </row>
    <row r="169" spans="1:20" x14ac:dyDescent="0.25">
      <c r="A169" s="3">
        <v>51</v>
      </c>
      <c r="B169" s="3">
        <v>0</v>
      </c>
      <c r="C169" s="3">
        <v>3</v>
      </c>
      <c r="D169" s="3">
        <v>130</v>
      </c>
      <c r="E169" s="3">
        <v>256</v>
      </c>
      <c r="F169" s="3">
        <v>0</v>
      </c>
      <c r="G169" s="3">
        <v>2</v>
      </c>
      <c r="H169" s="3">
        <v>149</v>
      </c>
      <c r="I169" s="3">
        <v>0</v>
      </c>
      <c r="J169" s="3">
        <v>0.5</v>
      </c>
      <c r="K169" s="3">
        <v>1</v>
      </c>
      <c r="L169" s="3">
        <v>0</v>
      </c>
      <c r="M169" s="3">
        <v>3</v>
      </c>
      <c r="N169" s="3">
        <v>0</v>
      </c>
      <c r="O169" s="7">
        <f t="shared" si="13"/>
        <v>-2.9190110185</v>
      </c>
      <c r="P169" s="7">
        <f t="shared" si="14"/>
        <v>5.1221742188278088E-2</v>
      </c>
      <c r="Q169" s="7">
        <f t="shared" si="15"/>
        <v>0</v>
      </c>
      <c r="R169" s="3">
        <f t="shared" si="16"/>
        <v>0</v>
      </c>
      <c r="S169" s="3">
        <f t="shared" si="17"/>
        <v>0.94877825781172187</v>
      </c>
      <c r="T169" s="3">
        <f t="shared" si="18"/>
        <v>5.2580166461060167E-2</v>
      </c>
    </row>
    <row r="170" spans="1:20" x14ac:dyDescent="0.25">
      <c r="A170" s="3">
        <v>66</v>
      </c>
      <c r="B170" s="3">
        <v>1</v>
      </c>
      <c r="C170" s="3">
        <v>4</v>
      </c>
      <c r="D170" s="3">
        <v>120</v>
      </c>
      <c r="E170" s="3">
        <v>302</v>
      </c>
      <c r="F170" s="3">
        <v>0</v>
      </c>
      <c r="G170" s="3">
        <v>2</v>
      </c>
      <c r="H170" s="3">
        <v>151</v>
      </c>
      <c r="I170" s="3">
        <v>0</v>
      </c>
      <c r="J170" s="3">
        <v>0.4</v>
      </c>
      <c r="K170" s="3">
        <v>2</v>
      </c>
      <c r="L170" s="3">
        <v>0</v>
      </c>
      <c r="M170" s="3">
        <v>3</v>
      </c>
      <c r="N170" s="3">
        <v>0</v>
      </c>
      <c r="O170" s="7">
        <f t="shared" si="13"/>
        <v>-0.7455595300000013</v>
      </c>
      <c r="P170" s="7">
        <f t="shared" si="14"/>
        <v>0.32178962585229381</v>
      </c>
      <c r="Q170" s="7">
        <f t="shared" si="15"/>
        <v>0</v>
      </c>
      <c r="R170" s="3">
        <f t="shared" si="16"/>
        <v>0</v>
      </c>
      <c r="S170" s="3">
        <f t="shared" si="17"/>
        <v>0.67821037414770613</v>
      </c>
      <c r="T170" s="3">
        <f t="shared" si="18"/>
        <v>0.38829775281704765</v>
      </c>
    </row>
    <row r="171" spans="1:20" x14ac:dyDescent="0.25">
      <c r="A171" s="3">
        <v>62</v>
      </c>
      <c r="B171" s="3">
        <v>0</v>
      </c>
      <c r="C171" s="3">
        <v>4</v>
      </c>
      <c r="D171" s="3">
        <v>160</v>
      </c>
      <c r="E171" s="3">
        <v>164</v>
      </c>
      <c r="F171" s="3">
        <v>0</v>
      </c>
      <c r="G171" s="3">
        <v>2</v>
      </c>
      <c r="H171" s="3">
        <v>145</v>
      </c>
      <c r="I171" s="3">
        <v>0</v>
      </c>
      <c r="J171" s="3">
        <v>6.2</v>
      </c>
      <c r="K171" s="3">
        <v>3</v>
      </c>
      <c r="L171" s="3">
        <v>3</v>
      </c>
      <c r="M171" s="3">
        <v>7</v>
      </c>
      <c r="N171" s="3">
        <v>1</v>
      </c>
      <c r="O171" s="7">
        <f t="shared" si="13"/>
        <v>7.0164474339999998</v>
      </c>
      <c r="P171" s="7">
        <f t="shared" si="14"/>
        <v>0.99910379738563004</v>
      </c>
      <c r="Q171" s="7">
        <f t="shared" si="15"/>
        <v>1</v>
      </c>
      <c r="R171" s="3">
        <f t="shared" si="16"/>
        <v>0</v>
      </c>
      <c r="S171" s="3">
        <f t="shared" si="17"/>
        <v>0.99910379738563004</v>
      </c>
      <c r="T171" s="3">
        <f t="shared" si="18"/>
        <v>8.9660444403142562E-4</v>
      </c>
    </row>
    <row r="172" spans="1:20" x14ac:dyDescent="0.25">
      <c r="A172" s="3">
        <v>62</v>
      </c>
      <c r="B172" s="3">
        <v>1</v>
      </c>
      <c r="C172" s="3">
        <v>3</v>
      </c>
      <c r="D172" s="3">
        <v>130</v>
      </c>
      <c r="E172" s="3">
        <v>231</v>
      </c>
      <c r="F172" s="3">
        <v>0</v>
      </c>
      <c r="G172" s="3">
        <v>0</v>
      </c>
      <c r="H172" s="3">
        <v>146</v>
      </c>
      <c r="I172" s="3">
        <v>0</v>
      </c>
      <c r="J172" s="3">
        <v>1.8</v>
      </c>
      <c r="K172" s="3">
        <v>2</v>
      </c>
      <c r="L172" s="3">
        <v>3</v>
      </c>
      <c r="M172" s="3">
        <v>7</v>
      </c>
      <c r="N172" s="3">
        <v>0</v>
      </c>
      <c r="O172" s="7">
        <f t="shared" si="13"/>
        <v>3.9734938979999992</v>
      </c>
      <c r="P172" s="7">
        <f t="shared" si="14"/>
        <v>0.98153958978055578</v>
      </c>
      <c r="Q172" s="7">
        <f t="shared" si="15"/>
        <v>1</v>
      </c>
      <c r="R172" s="3">
        <f t="shared" si="16"/>
        <v>1</v>
      </c>
      <c r="S172" s="3">
        <f t="shared" si="17"/>
        <v>1.8460410219444223E-2</v>
      </c>
      <c r="T172" s="3">
        <f t="shared" si="18"/>
        <v>3.9921268280826028</v>
      </c>
    </row>
    <row r="173" spans="1:20" x14ac:dyDescent="0.25">
      <c r="A173" s="3">
        <v>60</v>
      </c>
      <c r="B173" s="3">
        <v>0</v>
      </c>
      <c r="C173" s="3">
        <v>4</v>
      </c>
      <c r="D173" s="3">
        <v>150</v>
      </c>
      <c r="E173" s="3">
        <v>258</v>
      </c>
      <c r="F173" s="3">
        <v>0</v>
      </c>
      <c r="G173" s="3">
        <v>2</v>
      </c>
      <c r="H173" s="3">
        <v>157</v>
      </c>
      <c r="I173" s="3">
        <v>0</v>
      </c>
      <c r="J173" s="3">
        <v>2.6</v>
      </c>
      <c r="K173" s="3">
        <v>2</v>
      </c>
      <c r="L173" s="3">
        <v>2</v>
      </c>
      <c r="M173" s="3">
        <v>7</v>
      </c>
      <c r="N173" s="3">
        <v>1</v>
      </c>
      <c r="O173" s="7">
        <f t="shared" si="13"/>
        <v>3.6270371219999991</v>
      </c>
      <c r="P173" s="7">
        <f t="shared" si="14"/>
        <v>0.97409409881662568</v>
      </c>
      <c r="Q173" s="7">
        <f t="shared" si="15"/>
        <v>1</v>
      </c>
      <c r="R173" s="3">
        <f t="shared" si="16"/>
        <v>0</v>
      </c>
      <c r="S173" s="3">
        <f t="shared" si="17"/>
        <v>0.97409409881662568</v>
      </c>
      <c r="T173" s="3">
        <f t="shared" si="18"/>
        <v>2.6247369311427009E-2</v>
      </c>
    </row>
    <row r="174" spans="1:20" x14ac:dyDescent="0.25">
      <c r="A174" s="3">
        <v>34</v>
      </c>
      <c r="B174" s="3">
        <v>1</v>
      </c>
      <c r="C174" s="3">
        <v>1</v>
      </c>
      <c r="D174" s="3">
        <v>118</v>
      </c>
      <c r="E174" s="3">
        <v>182</v>
      </c>
      <c r="F174" s="3">
        <v>0</v>
      </c>
      <c r="G174" s="3">
        <v>2</v>
      </c>
      <c r="H174" s="3">
        <v>174</v>
      </c>
      <c r="I174" s="3">
        <v>0</v>
      </c>
      <c r="J174" s="3">
        <v>0</v>
      </c>
      <c r="K174" s="3">
        <v>1</v>
      </c>
      <c r="L174" s="3">
        <v>0</v>
      </c>
      <c r="M174" s="3">
        <v>3</v>
      </c>
      <c r="N174" s="3">
        <v>0</v>
      </c>
      <c r="O174" s="7">
        <f t="shared" si="13"/>
        <v>-4.6780808780000021</v>
      </c>
      <c r="P174" s="7">
        <f t="shared" si="14"/>
        <v>9.2112034736290156E-3</v>
      </c>
      <c r="Q174" s="7">
        <f t="shared" si="15"/>
        <v>0</v>
      </c>
      <c r="R174" s="3">
        <f t="shared" si="16"/>
        <v>0</v>
      </c>
      <c r="S174" s="3">
        <f t="shared" si="17"/>
        <v>0.99078879652637097</v>
      </c>
      <c r="T174" s="3">
        <f t="shared" si="18"/>
        <v>9.2538889335162869E-3</v>
      </c>
    </row>
    <row r="175" spans="1:20" x14ac:dyDescent="0.25">
      <c r="A175" s="3">
        <v>49</v>
      </c>
      <c r="B175" s="3">
        <v>1</v>
      </c>
      <c r="C175" s="3">
        <v>3</v>
      </c>
      <c r="D175" s="3">
        <v>120</v>
      </c>
      <c r="E175" s="3">
        <v>188</v>
      </c>
      <c r="F175" s="3">
        <v>0</v>
      </c>
      <c r="G175" s="3">
        <v>0</v>
      </c>
      <c r="H175" s="3">
        <v>139</v>
      </c>
      <c r="I175" s="3">
        <v>0</v>
      </c>
      <c r="J175" s="3">
        <v>2</v>
      </c>
      <c r="K175" s="3">
        <v>2</v>
      </c>
      <c r="L175" s="3">
        <v>3</v>
      </c>
      <c r="M175" s="3">
        <v>7</v>
      </c>
      <c r="N175" s="3">
        <v>1</v>
      </c>
      <c r="O175" s="7">
        <f t="shared" si="13"/>
        <v>3.8964235129999985</v>
      </c>
      <c r="P175" s="7">
        <f t="shared" si="14"/>
        <v>0.98009002394108546</v>
      </c>
      <c r="Q175" s="7">
        <f t="shared" si="15"/>
        <v>1</v>
      </c>
      <c r="R175" s="3">
        <f t="shared" si="16"/>
        <v>0</v>
      </c>
      <c r="S175" s="3">
        <f t="shared" si="17"/>
        <v>0.98009002394108546</v>
      </c>
      <c r="T175" s="3">
        <f t="shared" si="18"/>
        <v>2.0110850372124914E-2</v>
      </c>
    </row>
    <row r="176" spans="1:20" x14ac:dyDescent="0.25">
      <c r="A176" s="3">
        <v>54</v>
      </c>
      <c r="B176" s="3">
        <v>1</v>
      </c>
      <c r="C176" s="3">
        <v>2</v>
      </c>
      <c r="D176" s="3">
        <v>108</v>
      </c>
      <c r="E176" s="3">
        <v>309</v>
      </c>
      <c r="F176" s="3">
        <v>0</v>
      </c>
      <c r="G176" s="3">
        <v>0</v>
      </c>
      <c r="H176" s="3">
        <v>156</v>
      </c>
      <c r="I176" s="3">
        <v>0</v>
      </c>
      <c r="J176" s="3">
        <v>0</v>
      </c>
      <c r="K176" s="3">
        <v>1</v>
      </c>
      <c r="L176" s="3">
        <v>0</v>
      </c>
      <c r="M176" s="3">
        <v>7</v>
      </c>
      <c r="N176" s="3">
        <v>0</v>
      </c>
      <c r="O176" s="7">
        <f t="shared" si="13"/>
        <v>-2.9521471820000009</v>
      </c>
      <c r="P176" s="7">
        <f t="shared" si="14"/>
        <v>4.9635127801032942E-2</v>
      </c>
      <c r="Q176" s="7">
        <f t="shared" si="15"/>
        <v>0</v>
      </c>
      <c r="R176" s="3">
        <f t="shared" si="16"/>
        <v>0</v>
      </c>
      <c r="S176" s="3">
        <f t="shared" si="17"/>
        <v>0.95036487219896704</v>
      </c>
      <c r="T176" s="3">
        <f t="shared" si="18"/>
        <v>5.0909292126944193E-2</v>
      </c>
    </row>
    <row r="177" spans="1:20" x14ac:dyDescent="0.25">
      <c r="A177" s="3">
        <v>61</v>
      </c>
      <c r="B177" s="3">
        <v>0</v>
      </c>
      <c r="C177" s="3">
        <v>4</v>
      </c>
      <c r="D177" s="3">
        <v>145</v>
      </c>
      <c r="E177" s="3">
        <v>307</v>
      </c>
      <c r="F177" s="3">
        <v>0</v>
      </c>
      <c r="G177" s="3">
        <v>2</v>
      </c>
      <c r="H177" s="3">
        <v>146</v>
      </c>
      <c r="I177" s="3">
        <v>1</v>
      </c>
      <c r="J177" s="3">
        <v>1</v>
      </c>
      <c r="K177" s="3">
        <v>2</v>
      </c>
      <c r="L177" s="3">
        <v>0</v>
      </c>
      <c r="M177" s="3">
        <v>7</v>
      </c>
      <c r="N177" s="3">
        <v>1</v>
      </c>
      <c r="O177" s="7">
        <f t="shared" si="13"/>
        <v>1.3702908120000004</v>
      </c>
      <c r="P177" s="7">
        <f t="shared" si="14"/>
        <v>0.79742713455919412</v>
      </c>
      <c r="Q177" s="7">
        <f t="shared" si="15"/>
        <v>1</v>
      </c>
      <c r="R177" s="3">
        <f t="shared" si="16"/>
        <v>0</v>
      </c>
      <c r="S177" s="3">
        <f t="shared" si="17"/>
        <v>0.79742713455919412</v>
      </c>
      <c r="T177" s="3">
        <f t="shared" si="18"/>
        <v>0.22636481582128015</v>
      </c>
    </row>
    <row r="178" spans="1:20" x14ac:dyDescent="0.25">
      <c r="A178" s="3">
        <v>41</v>
      </c>
      <c r="B178" s="3">
        <v>1</v>
      </c>
      <c r="C178" s="3">
        <v>2</v>
      </c>
      <c r="D178" s="3">
        <v>135</v>
      </c>
      <c r="E178" s="3">
        <v>203</v>
      </c>
      <c r="F178" s="3">
        <v>0</v>
      </c>
      <c r="G178" s="3">
        <v>0</v>
      </c>
      <c r="H178" s="3">
        <v>132</v>
      </c>
      <c r="I178" s="3">
        <v>0</v>
      </c>
      <c r="J178" s="3">
        <v>0</v>
      </c>
      <c r="K178" s="3">
        <v>2</v>
      </c>
      <c r="L178" s="3">
        <v>0</v>
      </c>
      <c r="M178" s="3">
        <v>6</v>
      </c>
      <c r="N178" s="3">
        <v>0</v>
      </c>
      <c r="O178" s="7">
        <f t="shared" si="13"/>
        <v>-1.1733980270000011</v>
      </c>
      <c r="P178" s="7">
        <f t="shared" si="14"/>
        <v>0.23624132422904395</v>
      </c>
      <c r="Q178" s="7">
        <f t="shared" si="15"/>
        <v>0</v>
      </c>
      <c r="R178" s="3">
        <f t="shared" si="16"/>
        <v>0</v>
      </c>
      <c r="S178" s="3">
        <f t="shared" si="17"/>
        <v>0.76375867577095602</v>
      </c>
      <c r="T178" s="3">
        <f t="shared" si="18"/>
        <v>0.26950340912260962</v>
      </c>
    </row>
    <row r="179" spans="1:20" x14ac:dyDescent="0.25">
      <c r="A179" s="3">
        <v>63</v>
      </c>
      <c r="B179" s="3">
        <v>1</v>
      </c>
      <c r="C179" s="3">
        <v>4</v>
      </c>
      <c r="D179" s="3">
        <v>130</v>
      </c>
      <c r="E179" s="3">
        <v>330</v>
      </c>
      <c r="F179" s="3">
        <v>1</v>
      </c>
      <c r="G179" s="3">
        <v>2</v>
      </c>
      <c r="H179" s="3">
        <v>132</v>
      </c>
      <c r="I179" s="3">
        <v>1</v>
      </c>
      <c r="J179" s="3">
        <v>1.8</v>
      </c>
      <c r="K179" s="3">
        <v>1</v>
      </c>
      <c r="L179" s="3">
        <v>3</v>
      </c>
      <c r="M179" s="3">
        <v>7</v>
      </c>
      <c r="N179" s="3">
        <v>1</v>
      </c>
      <c r="O179" s="7">
        <f t="shared" si="13"/>
        <v>5.1869127769999999</v>
      </c>
      <c r="P179" s="7">
        <f t="shared" si="14"/>
        <v>0.99444183049477719</v>
      </c>
      <c r="Q179" s="7">
        <f t="shared" si="15"/>
        <v>1</v>
      </c>
      <c r="R179" s="3">
        <f t="shared" si="16"/>
        <v>0</v>
      </c>
      <c r="S179" s="3">
        <f t="shared" si="17"/>
        <v>0.99444183049477719</v>
      </c>
      <c r="T179" s="3">
        <f t="shared" si="18"/>
        <v>5.573673605648052E-3</v>
      </c>
    </row>
    <row r="180" spans="1:20" x14ac:dyDescent="0.25">
      <c r="A180" s="3">
        <v>65</v>
      </c>
      <c r="B180" s="3">
        <v>1</v>
      </c>
      <c r="C180" s="3">
        <v>4</v>
      </c>
      <c r="D180" s="3">
        <v>135</v>
      </c>
      <c r="E180" s="3">
        <v>254</v>
      </c>
      <c r="F180" s="3">
        <v>0</v>
      </c>
      <c r="G180" s="3">
        <v>2</v>
      </c>
      <c r="H180" s="3">
        <v>127</v>
      </c>
      <c r="I180" s="3">
        <v>0</v>
      </c>
      <c r="J180" s="3">
        <v>2.8</v>
      </c>
      <c r="K180" s="3">
        <v>2</v>
      </c>
      <c r="L180" s="3">
        <v>1</v>
      </c>
      <c r="M180" s="3">
        <v>7</v>
      </c>
      <c r="N180" s="3">
        <v>1</v>
      </c>
      <c r="O180" s="7">
        <f t="shared" si="13"/>
        <v>3.2795794479999998</v>
      </c>
      <c r="P180" s="7">
        <f t="shared" si="14"/>
        <v>0.96372158303003674</v>
      </c>
      <c r="Q180" s="7">
        <f t="shared" si="15"/>
        <v>1</v>
      </c>
      <c r="R180" s="3">
        <f t="shared" si="16"/>
        <v>0</v>
      </c>
      <c r="S180" s="3">
        <f t="shared" si="17"/>
        <v>0.96372158303003674</v>
      </c>
      <c r="T180" s="3">
        <f t="shared" si="18"/>
        <v>3.6952840370663161E-2</v>
      </c>
    </row>
    <row r="181" spans="1:20" x14ac:dyDescent="0.25">
      <c r="A181" s="3">
        <v>44</v>
      </c>
      <c r="B181" s="3">
        <v>1</v>
      </c>
      <c r="C181" s="3">
        <v>2</v>
      </c>
      <c r="D181" s="3">
        <v>120</v>
      </c>
      <c r="E181" s="3">
        <v>220</v>
      </c>
      <c r="F181" s="3">
        <v>0</v>
      </c>
      <c r="G181" s="3">
        <v>0</v>
      </c>
      <c r="H181" s="3">
        <v>170</v>
      </c>
      <c r="I181" s="3">
        <v>0</v>
      </c>
      <c r="J181" s="3">
        <v>0</v>
      </c>
      <c r="K181" s="3">
        <v>1</v>
      </c>
      <c r="L181" s="3">
        <v>0</v>
      </c>
      <c r="M181" s="3">
        <v>3</v>
      </c>
      <c r="N181" s="3">
        <v>0</v>
      </c>
      <c r="O181" s="7">
        <f t="shared" si="13"/>
        <v>-4.1950401850000016</v>
      </c>
      <c r="P181" s="7">
        <f t="shared" si="14"/>
        <v>1.4846399582930823E-2</v>
      </c>
      <c r="Q181" s="7">
        <f t="shared" si="15"/>
        <v>0</v>
      </c>
      <c r="R181" s="3">
        <f t="shared" si="16"/>
        <v>0</v>
      </c>
      <c r="S181" s="3">
        <f t="shared" si="17"/>
        <v>0.98515360041706923</v>
      </c>
      <c r="T181" s="3">
        <f t="shared" si="18"/>
        <v>1.4957710457634709E-2</v>
      </c>
    </row>
    <row r="182" spans="1:20" x14ac:dyDescent="0.25">
      <c r="A182" s="3">
        <v>54</v>
      </c>
      <c r="B182" s="3">
        <v>1</v>
      </c>
      <c r="C182" s="3">
        <v>3</v>
      </c>
      <c r="D182" s="3">
        <v>120</v>
      </c>
      <c r="E182" s="3">
        <v>258</v>
      </c>
      <c r="F182" s="3">
        <v>0</v>
      </c>
      <c r="G182" s="3">
        <v>2</v>
      </c>
      <c r="H182" s="3">
        <v>147</v>
      </c>
      <c r="I182" s="3">
        <v>0</v>
      </c>
      <c r="J182" s="3">
        <v>0.4</v>
      </c>
      <c r="K182" s="3">
        <v>2</v>
      </c>
      <c r="L182" s="3">
        <v>0</v>
      </c>
      <c r="M182" s="3">
        <v>7</v>
      </c>
      <c r="N182" s="3">
        <v>0</v>
      </c>
      <c r="O182" s="7">
        <f t="shared" si="13"/>
        <v>-0.2568393490000016</v>
      </c>
      <c r="P182" s="7">
        <f t="shared" si="14"/>
        <v>0.43614082433277079</v>
      </c>
      <c r="Q182" s="7">
        <f t="shared" si="15"/>
        <v>0</v>
      </c>
      <c r="R182" s="3">
        <f t="shared" si="16"/>
        <v>0</v>
      </c>
      <c r="S182" s="3">
        <f t="shared" si="17"/>
        <v>0.56385917566722921</v>
      </c>
      <c r="T182" s="3">
        <f t="shared" si="18"/>
        <v>0.57295074719473138</v>
      </c>
    </row>
    <row r="183" spans="1:20" x14ac:dyDescent="0.25">
      <c r="A183" s="3">
        <v>51</v>
      </c>
      <c r="B183" s="3">
        <v>1</v>
      </c>
      <c r="C183" s="3">
        <v>3</v>
      </c>
      <c r="D183" s="3">
        <v>94</v>
      </c>
      <c r="E183" s="3">
        <v>227</v>
      </c>
      <c r="F183" s="3">
        <v>0</v>
      </c>
      <c r="G183" s="3">
        <v>0</v>
      </c>
      <c r="H183" s="3">
        <v>154</v>
      </c>
      <c r="I183" s="3">
        <v>1</v>
      </c>
      <c r="J183" s="3">
        <v>0</v>
      </c>
      <c r="K183" s="3">
        <v>1</v>
      </c>
      <c r="L183" s="3">
        <v>1</v>
      </c>
      <c r="M183" s="3">
        <v>7</v>
      </c>
      <c r="N183" s="3">
        <v>0</v>
      </c>
      <c r="O183" s="7">
        <f t="shared" si="13"/>
        <v>-0.54086571900000102</v>
      </c>
      <c r="P183" s="7">
        <f t="shared" si="14"/>
        <v>0.36798621695120293</v>
      </c>
      <c r="Q183" s="7">
        <f t="shared" si="15"/>
        <v>0</v>
      </c>
      <c r="R183" s="3">
        <f t="shared" si="16"/>
        <v>0</v>
      </c>
      <c r="S183" s="3">
        <f t="shared" si="17"/>
        <v>0.63201378304879707</v>
      </c>
      <c r="T183" s="3">
        <f t="shared" si="18"/>
        <v>0.45884407645156983</v>
      </c>
    </row>
    <row r="184" spans="1:20" x14ac:dyDescent="0.25">
      <c r="A184" s="3">
        <v>35</v>
      </c>
      <c r="B184" s="3">
        <v>1</v>
      </c>
      <c r="C184" s="3">
        <v>4</v>
      </c>
      <c r="D184" s="3">
        <v>120</v>
      </c>
      <c r="E184" s="3">
        <v>198</v>
      </c>
      <c r="F184" s="3">
        <v>0</v>
      </c>
      <c r="G184" s="3">
        <v>0</v>
      </c>
      <c r="H184" s="3">
        <v>130</v>
      </c>
      <c r="I184" s="3">
        <v>1</v>
      </c>
      <c r="J184" s="3">
        <v>1.6</v>
      </c>
      <c r="K184" s="3">
        <v>2</v>
      </c>
      <c r="L184" s="3">
        <v>0</v>
      </c>
      <c r="M184" s="3">
        <v>7</v>
      </c>
      <c r="N184" s="3">
        <v>1</v>
      </c>
      <c r="O184" s="7">
        <f t="shared" si="13"/>
        <v>1.5250830829999984</v>
      </c>
      <c r="P184" s="7">
        <f t="shared" si="14"/>
        <v>0.82128577121164426</v>
      </c>
      <c r="Q184" s="7">
        <f t="shared" si="15"/>
        <v>1</v>
      </c>
      <c r="R184" s="3">
        <f t="shared" si="16"/>
        <v>0</v>
      </c>
      <c r="S184" s="3">
        <f t="shared" si="17"/>
        <v>0.82128577121164426</v>
      </c>
      <c r="T184" s="3">
        <f t="shared" si="18"/>
        <v>0.19688415310097523</v>
      </c>
    </row>
    <row r="185" spans="1:20" x14ac:dyDescent="0.25">
      <c r="A185" s="3">
        <v>64</v>
      </c>
      <c r="B185" s="3">
        <v>1</v>
      </c>
      <c r="C185" s="3">
        <v>3</v>
      </c>
      <c r="D185" s="3">
        <v>125</v>
      </c>
      <c r="E185" s="3">
        <v>309</v>
      </c>
      <c r="F185" s="3">
        <v>0</v>
      </c>
      <c r="G185" s="3">
        <v>0</v>
      </c>
      <c r="H185" s="3">
        <v>131</v>
      </c>
      <c r="I185" s="3">
        <v>1</v>
      </c>
      <c r="J185" s="3">
        <v>1.8</v>
      </c>
      <c r="K185" s="3">
        <v>2</v>
      </c>
      <c r="L185" s="3">
        <v>0</v>
      </c>
      <c r="M185" s="3">
        <v>7</v>
      </c>
      <c r="N185" s="3">
        <v>1</v>
      </c>
      <c r="O185" s="7">
        <f t="shared" si="13"/>
        <v>0.81957345699999706</v>
      </c>
      <c r="P185" s="7">
        <f t="shared" si="14"/>
        <v>0.69414578936741034</v>
      </c>
      <c r="Q185" s="7">
        <f t="shared" si="15"/>
        <v>1</v>
      </c>
      <c r="R185" s="3">
        <f t="shared" si="16"/>
        <v>0</v>
      </c>
      <c r="S185" s="3">
        <f t="shared" si="17"/>
        <v>0.69414578936741034</v>
      </c>
      <c r="T185" s="3">
        <f t="shared" si="18"/>
        <v>0.36507326940258666</v>
      </c>
    </row>
    <row r="186" spans="1:20" x14ac:dyDescent="0.25">
      <c r="A186" s="3">
        <v>57</v>
      </c>
      <c r="B186" s="3">
        <v>1</v>
      </c>
      <c r="C186" s="3">
        <v>4</v>
      </c>
      <c r="D186" s="3">
        <v>165</v>
      </c>
      <c r="E186" s="3">
        <v>289</v>
      </c>
      <c r="F186" s="3">
        <v>1</v>
      </c>
      <c r="G186" s="3">
        <v>2</v>
      </c>
      <c r="H186" s="3">
        <v>124</v>
      </c>
      <c r="I186" s="3">
        <v>0</v>
      </c>
      <c r="J186" s="3">
        <v>1</v>
      </c>
      <c r="K186" s="3">
        <v>2</v>
      </c>
      <c r="L186" s="3">
        <v>3</v>
      </c>
      <c r="M186" s="3">
        <v>7</v>
      </c>
      <c r="N186" s="3">
        <v>1</v>
      </c>
      <c r="O186" s="7">
        <f t="shared" si="13"/>
        <v>6.3478907189999987</v>
      </c>
      <c r="P186" s="7">
        <f t="shared" si="14"/>
        <v>0.99825262326486564</v>
      </c>
      <c r="Q186" s="7">
        <f t="shared" si="15"/>
        <v>1</v>
      </c>
      <c r="R186" s="3">
        <f t="shared" si="16"/>
        <v>0</v>
      </c>
      <c r="S186" s="3">
        <f t="shared" si="17"/>
        <v>0.99825262326486564</v>
      </c>
      <c r="T186" s="3">
        <f t="shared" si="18"/>
        <v>1.7489051786321926E-3</v>
      </c>
    </row>
    <row r="187" spans="1:20" x14ac:dyDescent="0.25">
      <c r="A187" s="3">
        <v>60</v>
      </c>
      <c r="B187" s="3">
        <v>0</v>
      </c>
      <c r="C187" s="3">
        <v>3</v>
      </c>
      <c r="D187" s="3">
        <v>102</v>
      </c>
      <c r="E187" s="3">
        <v>318</v>
      </c>
      <c r="F187" s="3">
        <v>0</v>
      </c>
      <c r="G187" s="3">
        <v>0</v>
      </c>
      <c r="H187" s="3">
        <v>160</v>
      </c>
      <c r="I187" s="3">
        <v>0</v>
      </c>
      <c r="J187" s="3">
        <v>0</v>
      </c>
      <c r="K187" s="3">
        <v>1</v>
      </c>
      <c r="L187" s="3">
        <v>1</v>
      </c>
      <c r="M187" s="3">
        <v>3</v>
      </c>
      <c r="N187" s="3">
        <v>0</v>
      </c>
      <c r="O187" s="7">
        <f t="shared" si="13"/>
        <v>-3.151101146000002</v>
      </c>
      <c r="P187" s="7">
        <f t="shared" si="14"/>
        <v>4.1047911899790908E-2</v>
      </c>
      <c r="Q187" s="7">
        <f t="shared" si="15"/>
        <v>0</v>
      </c>
      <c r="R187" s="3">
        <f t="shared" si="16"/>
        <v>0</v>
      </c>
      <c r="S187" s="3">
        <f t="shared" si="17"/>
        <v>0.95895208810020904</v>
      </c>
      <c r="T187" s="3">
        <f t="shared" si="18"/>
        <v>4.1914165617652502E-2</v>
      </c>
    </row>
    <row r="188" spans="1:20" x14ac:dyDescent="0.25">
      <c r="A188" s="3">
        <v>42</v>
      </c>
      <c r="B188" s="3">
        <v>0</v>
      </c>
      <c r="C188" s="3">
        <v>4</v>
      </c>
      <c r="D188" s="3">
        <v>102</v>
      </c>
      <c r="E188" s="3">
        <v>265</v>
      </c>
      <c r="F188" s="3">
        <v>0</v>
      </c>
      <c r="G188" s="3">
        <v>2</v>
      </c>
      <c r="H188" s="3">
        <v>122</v>
      </c>
      <c r="I188" s="3">
        <v>0</v>
      </c>
      <c r="J188" s="3">
        <v>0.6</v>
      </c>
      <c r="K188" s="3">
        <v>2</v>
      </c>
      <c r="L188" s="3">
        <v>0</v>
      </c>
      <c r="M188" s="3">
        <v>3</v>
      </c>
      <c r="N188" s="3">
        <v>0</v>
      </c>
      <c r="O188" s="7">
        <f t="shared" si="13"/>
        <v>-1.3805143390000021</v>
      </c>
      <c r="P188" s="7">
        <f t="shared" si="14"/>
        <v>0.2009264073565187</v>
      </c>
      <c r="Q188" s="7">
        <f t="shared" si="15"/>
        <v>0</v>
      </c>
      <c r="R188" s="3">
        <f t="shared" si="16"/>
        <v>0</v>
      </c>
      <c r="S188" s="3">
        <f t="shared" si="17"/>
        <v>0.79907359264348132</v>
      </c>
      <c r="T188" s="3">
        <f t="shared" si="18"/>
        <v>0.22430223152058112</v>
      </c>
    </row>
    <row r="189" spans="1:20" x14ac:dyDescent="0.25">
      <c r="A189" s="3">
        <v>67</v>
      </c>
      <c r="B189" s="3">
        <v>0</v>
      </c>
      <c r="C189" s="3">
        <v>3</v>
      </c>
      <c r="D189" s="3">
        <v>115</v>
      </c>
      <c r="E189" s="3">
        <v>564</v>
      </c>
      <c r="F189" s="3">
        <v>0</v>
      </c>
      <c r="G189" s="3">
        <v>2</v>
      </c>
      <c r="H189" s="3">
        <v>160</v>
      </c>
      <c r="I189" s="3">
        <v>0</v>
      </c>
      <c r="J189" s="3">
        <v>1.6</v>
      </c>
      <c r="K189" s="3">
        <v>2</v>
      </c>
      <c r="L189" s="3">
        <v>0</v>
      </c>
      <c r="M189" s="3">
        <v>7</v>
      </c>
      <c r="N189" s="3">
        <v>0</v>
      </c>
      <c r="O189" s="7">
        <f t="shared" si="13"/>
        <v>-0.71556039100000035</v>
      </c>
      <c r="P189" s="7">
        <f t="shared" si="14"/>
        <v>0.32837136323510679</v>
      </c>
      <c r="Q189" s="7">
        <f t="shared" si="15"/>
        <v>0</v>
      </c>
      <c r="R189" s="3">
        <f t="shared" si="16"/>
        <v>0</v>
      </c>
      <c r="S189" s="3">
        <f t="shared" si="17"/>
        <v>0.67162863676489315</v>
      </c>
      <c r="T189" s="3">
        <f t="shared" si="18"/>
        <v>0.3980497150735991</v>
      </c>
    </row>
    <row r="190" spans="1:20" x14ac:dyDescent="0.25">
      <c r="A190" s="3">
        <v>60</v>
      </c>
      <c r="B190" s="3">
        <v>1</v>
      </c>
      <c r="C190" s="3">
        <v>4</v>
      </c>
      <c r="D190" s="3">
        <v>140</v>
      </c>
      <c r="E190" s="3">
        <v>293</v>
      </c>
      <c r="F190" s="3">
        <v>0</v>
      </c>
      <c r="G190" s="3">
        <v>2</v>
      </c>
      <c r="H190" s="3">
        <v>170</v>
      </c>
      <c r="I190" s="3">
        <v>0</v>
      </c>
      <c r="J190" s="3">
        <v>1.2</v>
      </c>
      <c r="K190" s="3">
        <v>2</v>
      </c>
      <c r="L190" s="3">
        <v>2</v>
      </c>
      <c r="M190" s="3">
        <v>7</v>
      </c>
      <c r="N190" s="3">
        <v>1</v>
      </c>
      <c r="O190" s="7">
        <f t="shared" si="13"/>
        <v>3.7229762709999985</v>
      </c>
      <c r="P190" s="7">
        <f t="shared" si="14"/>
        <v>0.97640807856594991</v>
      </c>
      <c r="Q190" s="7">
        <f t="shared" si="15"/>
        <v>1</v>
      </c>
      <c r="R190" s="3">
        <f t="shared" si="16"/>
        <v>0</v>
      </c>
      <c r="S190" s="3">
        <f t="shared" si="17"/>
        <v>0.97640807856594991</v>
      </c>
      <c r="T190" s="3">
        <f t="shared" si="18"/>
        <v>2.3874666669262239E-2</v>
      </c>
    </row>
    <row r="191" spans="1:20" x14ac:dyDescent="0.25">
      <c r="A191" s="3">
        <v>46</v>
      </c>
      <c r="B191" s="3">
        <v>1</v>
      </c>
      <c r="C191" s="3">
        <v>2</v>
      </c>
      <c r="D191" s="3">
        <v>101</v>
      </c>
      <c r="E191" s="3">
        <v>197</v>
      </c>
      <c r="F191" s="3">
        <v>1</v>
      </c>
      <c r="G191" s="3">
        <v>0</v>
      </c>
      <c r="H191" s="3">
        <v>156</v>
      </c>
      <c r="I191" s="3">
        <v>0</v>
      </c>
      <c r="J191" s="3">
        <v>0</v>
      </c>
      <c r="K191" s="3">
        <v>1</v>
      </c>
      <c r="L191" s="3">
        <v>0</v>
      </c>
      <c r="M191" s="3">
        <v>7</v>
      </c>
      <c r="N191" s="3">
        <v>0</v>
      </c>
      <c r="O191" s="7">
        <f t="shared" si="13"/>
        <v>-3.8540380330000019</v>
      </c>
      <c r="P191" s="7">
        <f t="shared" si="14"/>
        <v>2.0754119005196404E-2</v>
      </c>
      <c r="Q191" s="7">
        <f t="shared" si="15"/>
        <v>0</v>
      </c>
      <c r="R191" s="3">
        <f t="shared" si="16"/>
        <v>0</v>
      </c>
      <c r="S191" s="3">
        <f t="shared" si="17"/>
        <v>0.97924588099480359</v>
      </c>
      <c r="T191" s="3">
        <f t="shared" si="18"/>
        <v>2.0972512730665905E-2</v>
      </c>
    </row>
    <row r="192" spans="1:20" x14ac:dyDescent="0.25">
      <c r="A192" s="3">
        <v>77</v>
      </c>
      <c r="B192" s="3">
        <v>1</v>
      </c>
      <c r="C192" s="3">
        <v>4</v>
      </c>
      <c r="D192" s="3">
        <v>125</v>
      </c>
      <c r="E192" s="3">
        <v>304</v>
      </c>
      <c r="F192" s="3">
        <v>0</v>
      </c>
      <c r="G192" s="3">
        <v>2</v>
      </c>
      <c r="H192" s="3">
        <v>162</v>
      </c>
      <c r="I192" s="3">
        <v>1</v>
      </c>
      <c r="J192" s="3">
        <v>0</v>
      </c>
      <c r="K192" s="3">
        <v>1</v>
      </c>
      <c r="L192" s="3">
        <v>3</v>
      </c>
      <c r="M192" s="3">
        <v>3</v>
      </c>
      <c r="N192" s="3">
        <v>1</v>
      </c>
      <c r="O192" s="7">
        <f t="shared" si="13"/>
        <v>3.0585759610000007</v>
      </c>
      <c r="P192" s="7">
        <f t="shared" si="14"/>
        <v>0.95515133454081003</v>
      </c>
      <c r="Q192" s="7">
        <f t="shared" si="15"/>
        <v>1</v>
      </c>
      <c r="R192" s="3">
        <f t="shared" si="16"/>
        <v>0</v>
      </c>
      <c r="S192" s="3">
        <f t="shared" si="17"/>
        <v>0.95515133454081003</v>
      </c>
      <c r="T192" s="3">
        <f t="shared" si="18"/>
        <v>4.5885485567976753E-2</v>
      </c>
    </row>
    <row r="193" spans="1:20" x14ac:dyDescent="0.25">
      <c r="A193" s="3">
        <v>43</v>
      </c>
      <c r="B193" s="3">
        <v>1</v>
      </c>
      <c r="C193" s="3">
        <v>3</v>
      </c>
      <c r="D193" s="3">
        <v>130</v>
      </c>
      <c r="E193" s="3">
        <v>315</v>
      </c>
      <c r="F193" s="3">
        <v>0</v>
      </c>
      <c r="G193" s="3">
        <v>0</v>
      </c>
      <c r="H193" s="3">
        <v>162</v>
      </c>
      <c r="I193" s="3">
        <v>0</v>
      </c>
      <c r="J193" s="3">
        <v>1.9</v>
      </c>
      <c r="K193" s="3">
        <v>1</v>
      </c>
      <c r="L193" s="3">
        <v>1</v>
      </c>
      <c r="M193" s="3">
        <v>3</v>
      </c>
      <c r="N193" s="3">
        <v>0</v>
      </c>
      <c r="O193" s="7">
        <f t="shared" si="13"/>
        <v>-0.80178675450000014</v>
      </c>
      <c r="P193" s="7">
        <f t="shared" si="14"/>
        <v>0.30964344455163489</v>
      </c>
      <c r="Q193" s="7">
        <f t="shared" si="15"/>
        <v>0</v>
      </c>
      <c r="R193" s="3">
        <f t="shared" si="16"/>
        <v>0</v>
      </c>
      <c r="S193" s="3">
        <f t="shared" si="17"/>
        <v>0.69035655544836505</v>
      </c>
      <c r="T193" s="3">
        <f t="shared" si="18"/>
        <v>0.37054706783198332</v>
      </c>
    </row>
    <row r="194" spans="1:20" x14ac:dyDescent="0.25">
      <c r="A194" s="3">
        <v>53</v>
      </c>
      <c r="B194" s="3">
        <v>1</v>
      </c>
      <c r="C194" s="3">
        <v>3</v>
      </c>
      <c r="D194" s="3">
        <v>130</v>
      </c>
      <c r="E194" s="3">
        <v>246</v>
      </c>
      <c r="F194" s="3">
        <v>1</v>
      </c>
      <c r="G194" s="3">
        <v>2</v>
      </c>
      <c r="H194" s="3">
        <v>173</v>
      </c>
      <c r="I194" s="3">
        <v>0</v>
      </c>
      <c r="J194" s="3">
        <v>0</v>
      </c>
      <c r="K194" s="3">
        <v>1</v>
      </c>
      <c r="L194" s="3">
        <v>3</v>
      </c>
      <c r="M194" s="3">
        <v>3</v>
      </c>
      <c r="N194" s="3">
        <v>0</v>
      </c>
      <c r="O194" s="7">
        <f t="shared" si="13"/>
        <v>1.0429083389999985</v>
      </c>
      <c r="P194" s="7">
        <f t="shared" si="14"/>
        <v>0.73941078211409583</v>
      </c>
      <c r="Q194" s="7">
        <f t="shared" si="15"/>
        <v>1</v>
      </c>
      <c r="R194" s="3">
        <f t="shared" si="16"/>
        <v>1</v>
      </c>
      <c r="S194" s="3">
        <f t="shared" si="17"/>
        <v>0.26058921788590417</v>
      </c>
      <c r="T194" s="3">
        <f t="shared" si="18"/>
        <v>1.3448099893380254</v>
      </c>
    </row>
    <row r="195" spans="1:20" x14ac:dyDescent="0.25">
      <c r="A195" s="3">
        <v>50</v>
      </c>
      <c r="B195" s="3">
        <v>1</v>
      </c>
      <c r="C195" s="3">
        <v>3</v>
      </c>
      <c r="D195" s="3">
        <v>129</v>
      </c>
      <c r="E195" s="3">
        <v>196</v>
      </c>
      <c r="F195" s="3">
        <v>0</v>
      </c>
      <c r="G195" s="3">
        <v>0</v>
      </c>
      <c r="H195" s="3">
        <v>163</v>
      </c>
      <c r="I195" s="3">
        <v>0</v>
      </c>
      <c r="J195" s="3">
        <v>0</v>
      </c>
      <c r="K195" s="3">
        <v>1</v>
      </c>
      <c r="L195" s="3">
        <v>0</v>
      </c>
      <c r="M195" s="3">
        <v>3</v>
      </c>
      <c r="N195" s="3">
        <v>0</v>
      </c>
      <c r="O195" s="7">
        <f t="shared" si="13"/>
        <v>-3.0619215600000009</v>
      </c>
      <c r="P195" s="7">
        <f t="shared" si="14"/>
        <v>4.4705567192963876E-2</v>
      </c>
      <c r="Q195" s="7">
        <f t="shared" si="15"/>
        <v>0</v>
      </c>
      <c r="R195" s="3">
        <f t="shared" si="16"/>
        <v>0</v>
      </c>
      <c r="S195" s="3">
        <f t="shared" si="17"/>
        <v>0.95529443280703608</v>
      </c>
      <c r="T195" s="3">
        <f t="shared" si="18"/>
        <v>4.5735679413895426E-2</v>
      </c>
    </row>
    <row r="196" spans="1:20" x14ac:dyDescent="0.25">
      <c r="A196" s="3">
        <v>57</v>
      </c>
      <c r="B196" s="3">
        <v>1</v>
      </c>
      <c r="C196" s="3">
        <v>3</v>
      </c>
      <c r="D196" s="3">
        <v>150</v>
      </c>
      <c r="E196" s="3">
        <v>126</v>
      </c>
      <c r="F196" s="3">
        <v>1</v>
      </c>
      <c r="G196" s="3">
        <v>0</v>
      </c>
      <c r="H196" s="3">
        <v>173</v>
      </c>
      <c r="I196" s="3">
        <v>0</v>
      </c>
      <c r="J196" s="3">
        <v>0.2</v>
      </c>
      <c r="K196" s="3">
        <v>1</v>
      </c>
      <c r="L196" s="3">
        <v>1</v>
      </c>
      <c r="M196" s="3">
        <v>7</v>
      </c>
      <c r="N196" s="3">
        <v>0</v>
      </c>
      <c r="O196" s="7">
        <f t="shared" si="13"/>
        <v>-0.70942035400000059</v>
      </c>
      <c r="P196" s="7">
        <f t="shared" si="14"/>
        <v>0.32972693341650111</v>
      </c>
      <c r="Q196" s="7">
        <f t="shared" si="15"/>
        <v>0</v>
      </c>
      <c r="R196" s="3">
        <f t="shared" si="16"/>
        <v>0</v>
      </c>
      <c r="S196" s="3">
        <f t="shared" si="17"/>
        <v>0.67027306658349883</v>
      </c>
      <c r="T196" s="3">
        <f t="shared" si="18"/>
        <v>0.40007008756306067</v>
      </c>
    </row>
    <row r="197" spans="1:20" x14ac:dyDescent="0.25">
      <c r="A197" s="3">
        <v>37</v>
      </c>
      <c r="B197" s="3">
        <v>0</v>
      </c>
      <c r="C197" s="3">
        <v>3</v>
      </c>
      <c r="D197" s="3">
        <v>120</v>
      </c>
      <c r="E197" s="3">
        <v>215</v>
      </c>
      <c r="F197" s="3">
        <v>0</v>
      </c>
      <c r="G197" s="3">
        <v>0</v>
      </c>
      <c r="H197" s="3">
        <v>170</v>
      </c>
      <c r="I197" s="3">
        <v>0</v>
      </c>
      <c r="J197" s="3">
        <v>0</v>
      </c>
      <c r="K197" s="3">
        <v>1</v>
      </c>
      <c r="L197" s="3">
        <v>0</v>
      </c>
      <c r="M197" s="3">
        <v>3</v>
      </c>
      <c r="N197" s="3">
        <v>0</v>
      </c>
      <c r="O197" s="7">
        <f t="shared" si="13"/>
        <v>-4.206417945000001</v>
      </c>
      <c r="P197" s="7">
        <f t="shared" si="14"/>
        <v>1.4680903961927018E-2</v>
      </c>
      <c r="Q197" s="7">
        <f t="shared" si="15"/>
        <v>0</v>
      </c>
      <c r="R197" s="3">
        <f t="shared" si="16"/>
        <v>0</v>
      </c>
      <c r="S197" s="3">
        <f t="shared" si="17"/>
        <v>0.98531909603807299</v>
      </c>
      <c r="T197" s="3">
        <f t="shared" si="18"/>
        <v>1.4789734903656598E-2</v>
      </c>
    </row>
    <row r="198" spans="1:20" x14ac:dyDescent="0.25">
      <c r="A198" s="3">
        <v>54</v>
      </c>
      <c r="B198" s="3">
        <v>0</v>
      </c>
      <c r="C198" s="3">
        <v>3</v>
      </c>
      <c r="D198" s="3">
        <v>108</v>
      </c>
      <c r="E198" s="3">
        <v>267</v>
      </c>
      <c r="F198" s="3">
        <v>0</v>
      </c>
      <c r="G198" s="3">
        <v>2</v>
      </c>
      <c r="H198" s="3">
        <v>167</v>
      </c>
      <c r="I198" s="3">
        <v>0</v>
      </c>
      <c r="J198" s="3">
        <v>0</v>
      </c>
      <c r="K198" s="3">
        <v>1</v>
      </c>
      <c r="L198" s="3">
        <v>0</v>
      </c>
      <c r="M198" s="3">
        <v>3</v>
      </c>
      <c r="N198" s="3">
        <v>0</v>
      </c>
      <c r="O198" s="7">
        <f t="shared" si="13"/>
        <v>-4.0981616980000011</v>
      </c>
      <c r="P198" s="7">
        <f t="shared" si="14"/>
        <v>1.6332005948797114E-2</v>
      </c>
      <c r="Q198" s="7">
        <f t="shared" si="15"/>
        <v>0</v>
      </c>
      <c r="R198" s="3">
        <f t="shared" si="16"/>
        <v>0</v>
      </c>
      <c r="S198" s="3">
        <f t="shared" si="17"/>
        <v>0.98366799405120287</v>
      </c>
      <c r="T198" s="3">
        <f t="shared" si="18"/>
        <v>1.6466843283070874E-2</v>
      </c>
    </row>
    <row r="199" spans="1:20" x14ac:dyDescent="0.25">
      <c r="A199" s="3">
        <v>39</v>
      </c>
      <c r="B199" s="3">
        <v>0</v>
      </c>
      <c r="C199" s="3">
        <v>3</v>
      </c>
      <c r="D199" s="3">
        <v>94</v>
      </c>
      <c r="E199" s="3">
        <v>199</v>
      </c>
      <c r="F199" s="3">
        <v>0</v>
      </c>
      <c r="G199" s="3">
        <v>0</v>
      </c>
      <c r="H199" s="3">
        <v>179</v>
      </c>
      <c r="I199" s="3">
        <v>0</v>
      </c>
      <c r="J199" s="3">
        <v>0</v>
      </c>
      <c r="K199" s="3">
        <v>1</v>
      </c>
      <c r="L199" s="3">
        <v>0</v>
      </c>
      <c r="M199" s="3">
        <v>3</v>
      </c>
      <c r="N199" s="3">
        <v>0</v>
      </c>
      <c r="O199" s="7">
        <f t="shared" ref="O199:O219" si="19">SUMPRODUCT(A$4:M$4, A199:M199)+N$4</f>
        <v>-5.2615129530000013</v>
      </c>
      <c r="P199" s="7">
        <f t="shared" ref="P199:P219" si="20">1/(1+EXP(0-O199))</f>
        <v>5.1606796402280854E-3</v>
      </c>
      <c r="Q199" s="7">
        <f t="shared" ref="Q199:Q219" si="21">IF(P199&lt;=0.5, 0, 1)</f>
        <v>0</v>
      </c>
      <c r="R199" s="3">
        <f t="shared" ref="R199:R219" si="22">IF(N199=Q199, 0, 1)</f>
        <v>0</v>
      </c>
      <c r="S199" s="3">
        <f t="shared" ref="S199:S219" si="23">IF(N199=1, P199, 1-P199)</f>
        <v>0.99483932035977196</v>
      </c>
      <c r="T199" s="3">
        <f t="shared" ref="T199:T219" si="24">IF(S199=0, 100000, -LN(S199))</f>
        <v>5.1740419395920724E-3</v>
      </c>
    </row>
    <row r="200" spans="1:20" x14ac:dyDescent="0.25">
      <c r="A200" s="3">
        <v>63</v>
      </c>
      <c r="B200" s="3">
        <v>0</v>
      </c>
      <c r="C200" s="3">
        <v>4</v>
      </c>
      <c r="D200" s="3">
        <v>108</v>
      </c>
      <c r="E200" s="3">
        <v>269</v>
      </c>
      <c r="F200" s="3">
        <v>0</v>
      </c>
      <c r="G200" s="3">
        <v>0</v>
      </c>
      <c r="H200" s="3">
        <v>169</v>
      </c>
      <c r="I200" s="3">
        <v>1</v>
      </c>
      <c r="J200" s="3">
        <v>1.8</v>
      </c>
      <c r="K200" s="3">
        <v>2</v>
      </c>
      <c r="L200" s="3">
        <v>2</v>
      </c>
      <c r="M200" s="3">
        <v>3</v>
      </c>
      <c r="N200" s="3">
        <v>1</v>
      </c>
      <c r="O200" s="7">
        <f t="shared" si="19"/>
        <v>0.92820187999999781</v>
      </c>
      <c r="P200" s="7">
        <f t="shared" si="20"/>
        <v>0.71671034357893948</v>
      </c>
      <c r="Q200" s="7">
        <f t="shared" si="21"/>
        <v>1</v>
      </c>
      <c r="R200" s="3">
        <f t="shared" si="22"/>
        <v>0</v>
      </c>
      <c r="S200" s="3">
        <f t="shared" si="23"/>
        <v>0.71671034357893948</v>
      </c>
      <c r="T200" s="3">
        <f t="shared" si="24"/>
        <v>0.33308350385682783</v>
      </c>
    </row>
    <row r="201" spans="1:20" x14ac:dyDescent="0.25">
      <c r="A201" s="3">
        <v>34</v>
      </c>
      <c r="B201" s="3">
        <v>0</v>
      </c>
      <c r="C201" s="3">
        <v>2</v>
      </c>
      <c r="D201" s="3">
        <v>118</v>
      </c>
      <c r="E201" s="3">
        <v>210</v>
      </c>
      <c r="F201" s="3">
        <v>0</v>
      </c>
      <c r="G201" s="3">
        <v>0</v>
      </c>
      <c r="H201" s="3">
        <v>192</v>
      </c>
      <c r="I201" s="3">
        <v>0</v>
      </c>
      <c r="J201" s="3">
        <v>0.7</v>
      </c>
      <c r="K201" s="3">
        <v>1</v>
      </c>
      <c r="L201" s="3">
        <v>0</v>
      </c>
      <c r="M201" s="3">
        <v>3</v>
      </c>
      <c r="N201" s="3">
        <v>0</v>
      </c>
      <c r="O201" s="7">
        <f t="shared" si="19"/>
        <v>-5.3842566155000018</v>
      </c>
      <c r="P201" s="7">
        <f t="shared" si="20"/>
        <v>4.5672940024254639E-3</v>
      </c>
      <c r="Q201" s="7">
        <f t="shared" si="21"/>
        <v>0</v>
      </c>
      <c r="R201" s="3">
        <f t="shared" si="22"/>
        <v>0</v>
      </c>
      <c r="S201" s="3">
        <f t="shared" si="23"/>
        <v>0.9954327059975745</v>
      </c>
      <c r="T201" s="3">
        <f t="shared" si="24"/>
        <v>4.5777559570468291E-3</v>
      </c>
    </row>
    <row r="202" spans="1:20" x14ac:dyDescent="0.25">
      <c r="A202" s="3">
        <v>54</v>
      </c>
      <c r="B202" s="3">
        <v>0</v>
      </c>
      <c r="C202" s="3">
        <v>3</v>
      </c>
      <c r="D202" s="3">
        <v>160</v>
      </c>
      <c r="E202" s="3">
        <v>201</v>
      </c>
      <c r="F202" s="3">
        <v>0</v>
      </c>
      <c r="G202" s="3">
        <v>0</v>
      </c>
      <c r="H202" s="3">
        <v>163</v>
      </c>
      <c r="I202" s="3">
        <v>0</v>
      </c>
      <c r="J202" s="3">
        <v>0</v>
      </c>
      <c r="K202" s="3">
        <v>1</v>
      </c>
      <c r="L202" s="3">
        <v>1</v>
      </c>
      <c r="M202" s="3">
        <v>3</v>
      </c>
      <c r="N202" s="3">
        <v>0</v>
      </c>
      <c r="O202" s="7">
        <f t="shared" si="19"/>
        <v>-1.6412187670000016</v>
      </c>
      <c r="P202" s="7">
        <f t="shared" si="20"/>
        <v>0.16229929296689805</v>
      </c>
      <c r="Q202" s="7">
        <f t="shared" si="21"/>
        <v>0</v>
      </c>
      <c r="R202" s="3">
        <f t="shared" si="22"/>
        <v>0</v>
      </c>
      <c r="S202" s="3">
        <f t="shared" si="23"/>
        <v>0.83770070703310195</v>
      </c>
      <c r="T202" s="3">
        <f t="shared" si="24"/>
        <v>0.17709439380565653</v>
      </c>
    </row>
    <row r="203" spans="1:20" x14ac:dyDescent="0.25">
      <c r="A203" s="3">
        <v>42</v>
      </c>
      <c r="B203" s="3">
        <v>1</v>
      </c>
      <c r="C203" s="3">
        <v>2</v>
      </c>
      <c r="D203" s="3">
        <v>120</v>
      </c>
      <c r="E203" s="3">
        <v>295</v>
      </c>
      <c r="F203" s="3">
        <v>0</v>
      </c>
      <c r="G203" s="3">
        <v>0</v>
      </c>
      <c r="H203" s="3">
        <v>162</v>
      </c>
      <c r="I203" s="3">
        <v>0</v>
      </c>
      <c r="J203" s="3">
        <v>0</v>
      </c>
      <c r="K203" s="3">
        <v>1</v>
      </c>
      <c r="L203" s="3">
        <v>0</v>
      </c>
      <c r="M203" s="3">
        <v>3</v>
      </c>
      <c r="N203" s="3">
        <v>0</v>
      </c>
      <c r="O203" s="7">
        <f t="shared" si="19"/>
        <v>-3.8199474560000013</v>
      </c>
      <c r="P203" s="7">
        <f t="shared" si="20"/>
        <v>2.1458393005115248E-2</v>
      </c>
      <c r="Q203" s="7">
        <f t="shared" si="21"/>
        <v>0</v>
      </c>
      <c r="R203" s="3">
        <f t="shared" si="22"/>
        <v>0</v>
      </c>
      <c r="S203" s="3">
        <f t="shared" si="23"/>
        <v>0.97854160699488479</v>
      </c>
      <c r="T203" s="3">
        <f t="shared" si="24"/>
        <v>2.1691971849306917E-2</v>
      </c>
    </row>
    <row r="204" spans="1:20" x14ac:dyDescent="0.25">
      <c r="A204" s="3">
        <v>41</v>
      </c>
      <c r="B204" s="3">
        <v>1</v>
      </c>
      <c r="C204" s="3">
        <v>2</v>
      </c>
      <c r="D204" s="3">
        <v>110</v>
      </c>
      <c r="E204" s="3">
        <v>235</v>
      </c>
      <c r="F204" s="3">
        <v>0</v>
      </c>
      <c r="G204" s="3">
        <v>0</v>
      </c>
      <c r="H204" s="3">
        <v>153</v>
      </c>
      <c r="I204" s="3">
        <v>0</v>
      </c>
      <c r="J204" s="3">
        <v>0</v>
      </c>
      <c r="K204" s="3">
        <v>1</v>
      </c>
      <c r="L204" s="3">
        <v>0</v>
      </c>
      <c r="M204" s="3">
        <v>3</v>
      </c>
      <c r="N204" s="3">
        <v>0</v>
      </c>
      <c r="O204" s="7">
        <f t="shared" si="19"/>
        <v>-4.076303449000001</v>
      </c>
      <c r="P204" s="7">
        <f t="shared" si="20"/>
        <v>1.6686902538796948E-2</v>
      </c>
      <c r="Q204" s="7">
        <f t="shared" si="21"/>
        <v>0</v>
      </c>
      <c r="R204" s="3">
        <f t="shared" si="22"/>
        <v>0</v>
      </c>
      <c r="S204" s="3">
        <f t="shared" si="23"/>
        <v>0.9833130974612031</v>
      </c>
      <c r="T204" s="3">
        <f t="shared" si="24"/>
        <v>1.682769738114253E-2</v>
      </c>
    </row>
    <row r="205" spans="1:20" x14ac:dyDescent="0.25">
      <c r="A205" s="3">
        <v>61</v>
      </c>
      <c r="B205" s="3">
        <v>1</v>
      </c>
      <c r="C205" s="3">
        <v>1</v>
      </c>
      <c r="D205" s="3">
        <v>134</v>
      </c>
      <c r="E205" s="3">
        <v>234</v>
      </c>
      <c r="F205" s="3">
        <v>0</v>
      </c>
      <c r="G205" s="3">
        <v>0</v>
      </c>
      <c r="H205" s="3">
        <v>145</v>
      </c>
      <c r="I205" s="3">
        <v>0</v>
      </c>
      <c r="J205" s="3">
        <v>2.6</v>
      </c>
      <c r="K205" s="3">
        <v>2</v>
      </c>
      <c r="L205" s="3">
        <v>2</v>
      </c>
      <c r="M205" s="3">
        <v>3</v>
      </c>
      <c r="N205" s="3">
        <v>1</v>
      </c>
      <c r="O205" s="7">
        <f t="shared" si="19"/>
        <v>3.3870386999998559E-2</v>
      </c>
      <c r="P205" s="7">
        <f t="shared" si="20"/>
        <v>0.50846678733840767</v>
      </c>
      <c r="Q205" s="7">
        <f t="shared" si="21"/>
        <v>1</v>
      </c>
      <c r="R205" s="3">
        <f t="shared" si="22"/>
        <v>0</v>
      </c>
      <c r="S205" s="3">
        <f t="shared" si="23"/>
        <v>0.50846678733840767</v>
      </c>
      <c r="T205" s="3">
        <f t="shared" si="24"/>
        <v>0.67635538059535438</v>
      </c>
    </row>
    <row r="206" spans="1:20" x14ac:dyDescent="0.25">
      <c r="A206" s="3">
        <v>64</v>
      </c>
      <c r="B206" s="3">
        <v>1</v>
      </c>
      <c r="C206" s="3">
        <v>4</v>
      </c>
      <c r="D206" s="3">
        <v>128</v>
      </c>
      <c r="E206" s="3">
        <v>263</v>
      </c>
      <c r="F206" s="3">
        <v>0</v>
      </c>
      <c r="G206" s="3">
        <v>0</v>
      </c>
      <c r="H206" s="3">
        <v>105</v>
      </c>
      <c r="I206" s="3">
        <v>1</v>
      </c>
      <c r="J206" s="3">
        <v>0.2</v>
      </c>
      <c r="K206" s="3">
        <v>2</v>
      </c>
      <c r="L206" s="3">
        <v>1</v>
      </c>
      <c r="M206" s="3">
        <v>7</v>
      </c>
      <c r="N206" s="3">
        <v>0</v>
      </c>
      <c r="O206" s="7">
        <f t="shared" si="19"/>
        <v>3.2211838349999997</v>
      </c>
      <c r="P206" s="7">
        <f t="shared" si="20"/>
        <v>0.96162372607808455</v>
      </c>
      <c r="Q206" s="7">
        <f t="shared" si="21"/>
        <v>1</v>
      </c>
      <c r="R206" s="3">
        <f t="shared" si="22"/>
        <v>1</v>
      </c>
      <c r="S206" s="3">
        <f t="shared" si="23"/>
        <v>3.8376273921915449E-2</v>
      </c>
      <c r="T206" s="3">
        <f t="shared" si="24"/>
        <v>3.2603158769634808</v>
      </c>
    </row>
    <row r="207" spans="1:20" x14ac:dyDescent="0.25">
      <c r="A207" s="3">
        <v>42</v>
      </c>
      <c r="B207" s="3">
        <v>0</v>
      </c>
      <c r="C207" s="3">
        <v>3</v>
      </c>
      <c r="D207" s="3">
        <v>120</v>
      </c>
      <c r="E207" s="3">
        <v>209</v>
      </c>
      <c r="F207" s="3">
        <v>0</v>
      </c>
      <c r="G207" s="3">
        <v>0</v>
      </c>
      <c r="H207" s="3">
        <v>173</v>
      </c>
      <c r="I207" s="3">
        <v>0</v>
      </c>
      <c r="J207" s="3">
        <v>0</v>
      </c>
      <c r="K207" s="3">
        <v>2</v>
      </c>
      <c r="L207" s="3">
        <v>0</v>
      </c>
      <c r="M207" s="3">
        <v>3</v>
      </c>
      <c r="N207" s="3">
        <v>0</v>
      </c>
      <c r="O207" s="7">
        <f t="shared" si="19"/>
        <v>-3.4826696070000018</v>
      </c>
      <c r="P207" s="7">
        <f t="shared" si="20"/>
        <v>2.9809375707312548E-2</v>
      </c>
      <c r="Q207" s="7">
        <f t="shared" si="21"/>
        <v>0</v>
      </c>
      <c r="R207" s="3">
        <f t="shared" si="22"/>
        <v>0</v>
      </c>
      <c r="S207" s="3">
        <f t="shared" si="23"/>
        <v>0.97019062429268743</v>
      </c>
      <c r="T207" s="3">
        <f t="shared" si="24"/>
        <v>3.0262706902844022E-2</v>
      </c>
    </row>
    <row r="208" spans="1:20" x14ac:dyDescent="0.25">
      <c r="A208" s="3">
        <v>58</v>
      </c>
      <c r="B208" s="3">
        <v>0</v>
      </c>
      <c r="C208" s="3">
        <v>2</v>
      </c>
      <c r="D208" s="3">
        <v>136</v>
      </c>
      <c r="E208" s="3">
        <v>319</v>
      </c>
      <c r="F208" s="3">
        <v>1</v>
      </c>
      <c r="G208" s="3">
        <v>2</v>
      </c>
      <c r="H208" s="3">
        <v>152</v>
      </c>
      <c r="I208" s="3">
        <v>0</v>
      </c>
      <c r="J208" s="3">
        <v>0</v>
      </c>
      <c r="K208" s="3">
        <v>1</v>
      </c>
      <c r="L208" s="3">
        <v>2</v>
      </c>
      <c r="M208" s="3">
        <v>3</v>
      </c>
      <c r="N208" s="3">
        <v>1</v>
      </c>
      <c r="O208" s="7">
        <f t="shared" si="19"/>
        <v>-1.3558728180000017</v>
      </c>
      <c r="P208" s="7">
        <f t="shared" si="20"/>
        <v>0.20491189632695703</v>
      </c>
      <c r="Q208" s="7">
        <f t="shared" si="21"/>
        <v>0</v>
      </c>
      <c r="R208" s="3">
        <f t="shared" si="22"/>
        <v>1</v>
      </c>
      <c r="S208" s="3">
        <f t="shared" si="23"/>
        <v>0.20491189632695703</v>
      </c>
      <c r="T208" s="3">
        <f t="shared" si="24"/>
        <v>1.5851751662378937</v>
      </c>
    </row>
    <row r="209" spans="1:20" x14ac:dyDescent="0.25">
      <c r="A209" s="3">
        <v>60</v>
      </c>
      <c r="B209" s="3">
        <v>0</v>
      </c>
      <c r="C209" s="3">
        <v>1</v>
      </c>
      <c r="D209" s="3">
        <v>150</v>
      </c>
      <c r="E209" s="3">
        <v>240</v>
      </c>
      <c r="F209" s="3">
        <v>0</v>
      </c>
      <c r="G209" s="3">
        <v>0</v>
      </c>
      <c r="H209" s="3">
        <v>171</v>
      </c>
      <c r="I209" s="3">
        <v>0</v>
      </c>
      <c r="J209" s="3">
        <v>0.9</v>
      </c>
      <c r="K209" s="3">
        <v>1</v>
      </c>
      <c r="L209" s="3">
        <v>0</v>
      </c>
      <c r="M209" s="3">
        <v>3</v>
      </c>
      <c r="N209" s="3">
        <v>0</v>
      </c>
      <c r="O209" s="7">
        <f t="shared" si="19"/>
        <v>-4.9577045575000005</v>
      </c>
      <c r="P209" s="7">
        <f t="shared" si="20"/>
        <v>6.9799814973544871E-3</v>
      </c>
      <c r="Q209" s="7">
        <f t="shared" si="21"/>
        <v>0</v>
      </c>
      <c r="R209" s="3">
        <f t="shared" si="22"/>
        <v>0</v>
      </c>
      <c r="S209" s="3">
        <f t="shared" si="23"/>
        <v>0.99302001850264554</v>
      </c>
      <c r="T209" s="3">
        <f t="shared" si="24"/>
        <v>7.0044555201814289E-3</v>
      </c>
    </row>
    <row r="210" spans="1:20" x14ac:dyDescent="0.25">
      <c r="A210" s="3">
        <v>42</v>
      </c>
      <c r="B210" s="3">
        <v>1</v>
      </c>
      <c r="C210" s="3">
        <v>4</v>
      </c>
      <c r="D210" s="3">
        <v>136</v>
      </c>
      <c r="E210" s="3">
        <v>315</v>
      </c>
      <c r="F210" s="3">
        <v>0</v>
      </c>
      <c r="G210" s="3">
        <v>0</v>
      </c>
      <c r="H210" s="3">
        <v>125</v>
      </c>
      <c r="I210" s="3">
        <v>1</v>
      </c>
      <c r="J210" s="3">
        <v>1.8</v>
      </c>
      <c r="K210" s="3">
        <v>2</v>
      </c>
      <c r="L210" s="3">
        <v>0</v>
      </c>
      <c r="M210" s="3">
        <v>6</v>
      </c>
      <c r="N210" s="3">
        <v>1</v>
      </c>
      <c r="O210" s="7">
        <f t="shared" si="19"/>
        <v>2.0770361649999991</v>
      </c>
      <c r="P210" s="7">
        <f t="shared" si="20"/>
        <v>0.88865109850149759</v>
      </c>
      <c r="Q210" s="7">
        <f t="shared" si="21"/>
        <v>1</v>
      </c>
      <c r="R210" s="3">
        <f t="shared" si="22"/>
        <v>0</v>
      </c>
      <c r="S210" s="3">
        <f t="shared" si="23"/>
        <v>0.88865109850149759</v>
      </c>
      <c r="T210" s="3">
        <f t="shared" si="24"/>
        <v>0.11805058563050119</v>
      </c>
    </row>
    <row r="211" spans="1:20" x14ac:dyDescent="0.25">
      <c r="A211" s="3">
        <v>61</v>
      </c>
      <c r="B211" s="3">
        <v>1</v>
      </c>
      <c r="C211" s="3">
        <v>4</v>
      </c>
      <c r="D211" s="3">
        <v>140</v>
      </c>
      <c r="E211" s="3">
        <v>207</v>
      </c>
      <c r="F211" s="3">
        <v>0</v>
      </c>
      <c r="G211" s="3">
        <v>2</v>
      </c>
      <c r="H211" s="3">
        <v>138</v>
      </c>
      <c r="I211" s="3">
        <v>1</v>
      </c>
      <c r="J211" s="3">
        <v>1.9</v>
      </c>
      <c r="K211" s="3">
        <v>1</v>
      </c>
      <c r="L211" s="3">
        <v>1</v>
      </c>
      <c r="M211" s="3">
        <v>7</v>
      </c>
      <c r="N211" s="3">
        <v>1</v>
      </c>
      <c r="O211" s="7">
        <f t="shared" si="19"/>
        <v>2.8012937724999993</v>
      </c>
      <c r="P211" s="7">
        <f t="shared" si="20"/>
        <v>0.94274569710041811</v>
      </c>
      <c r="Q211" s="7">
        <f t="shared" si="21"/>
        <v>1</v>
      </c>
      <c r="R211" s="3">
        <f t="shared" si="22"/>
        <v>0</v>
      </c>
      <c r="S211" s="3">
        <f t="shared" si="23"/>
        <v>0.94274569710041811</v>
      </c>
      <c r="T211" s="3">
        <f t="shared" si="24"/>
        <v>5.8958707054120374E-2</v>
      </c>
    </row>
    <row r="212" spans="1:20" x14ac:dyDescent="0.25">
      <c r="A212" s="3">
        <v>66</v>
      </c>
      <c r="B212" s="3">
        <v>1</v>
      </c>
      <c r="C212" s="3">
        <v>4</v>
      </c>
      <c r="D212" s="3">
        <v>160</v>
      </c>
      <c r="E212" s="3">
        <v>228</v>
      </c>
      <c r="F212" s="3">
        <v>0</v>
      </c>
      <c r="G212" s="3">
        <v>2</v>
      </c>
      <c r="H212" s="3">
        <v>138</v>
      </c>
      <c r="I212" s="3">
        <v>0</v>
      </c>
      <c r="J212" s="3">
        <v>2.2999999999999998</v>
      </c>
      <c r="K212" s="3">
        <v>1</v>
      </c>
      <c r="L212" s="3">
        <v>0</v>
      </c>
      <c r="M212" s="3">
        <v>6</v>
      </c>
      <c r="N212" s="3">
        <v>0</v>
      </c>
      <c r="O212" s="7">
        <f t="shared" si="19"/>
        <v>1.0667258704999991</v>
      </c>
      <c r="P212" s="7">
        <f t="shared" si="20"/>
        <v>0.74397376844438279</v>
      </c>
      <c r="Q212" s="7">
        <f t="shared" si="21"/>
        <v>1</v>
      </c>
      <c r="R212" s="3">
        <f t="shared" si="22"/>
        <v>1</v>
      </c>
      <c r="S212" s="3">
        <f t="shared" si="23"/>
        <v>0.25602623155561721</v>
      </c>
      <c r="T212" s="3">
        <f t="shared" si="24"/>
        <v>1.3624753727378307</v>
      </c>
    </row>
    <row r="213" spans="1:20" x14ac:dyDescent="0.25">
      <c r="A213" s="3">
        <v>66</v>
      </c>
      <c r="B213" s="3">
        <v>0</v>
      </c>
      <c r="C213" s="3">
        <v>3</v>
      </c>
      <c r="D213" s="3">
        <v>146</v>
      </c>
      <c r="E213" s="3">
        <v>278</v>
      </c>
      <c r="F213" s="3">
        <v>0</v>
      </c>
      <c r="G213" s="3">
        <v>2</v>
      </c>
      <c r="H213" s="3">
        <v>152</v>
      </c>
      <c r="I213" s="3">
        <v>0</v>
      </c>
      <c r="J213" s="3">
        <v>0</v>
      </c>
      <c r="K213" s="3">
        <v>2</v>
      </c>
      <c r="L213" s="3">
        <v>1</v>
      </c>
      <c r="M213" s="3">
        <v>3</v>
      </c>
      <c r="N213" s="3">
        <v>0</v>
      </c>
      <c r="O213" s="7">
        <f t="shared" si="19"/>
        <v>-0.45171516700000147</v>
      </c>
      <c r="P213" s="7">
        <f t="shared" si="20"/>
        <v>0.38895304719940715</v>
      </c>
      <c r="Q213" s="7">
        <f t="shared" si="21"/>
        <v>0</v>
      </c>
      <c r="R213" s="3">
        <f t="shared" si="22"/>
        <v>0</v>
      </c>
      <c r="S213" s="3">
        <f t="shared" si="23"/>
        <v>0.61104695280059285</v>
      </c>
      <c r="T213" s="3">
        <f t="shared" si="24"/>
        <v>0.49258147693554688</v>
      </c>
    </row>
    <row r="214" spans="1:20" x14ac:dyDescent="0.25">
      <c r="A214" s="3">
        <v>58</v>
      </c>
      <c r="B214" s="3">
        <v>0</v>
      </c>
      <c r="C214" s="3">
        <v>4</v>
      </c>
      <c r="D214" s="3">
        <v>130</v>
      </c>
      <c r="E214" s="3">
        <v>197</v>
      </c>
      <c r="F214" s="3">
        <v>0</v>
      </c>
      <c r="G214" s="3">
        <v>0</v>
      </c>
      <c r="H214" s="3">
        <v>131</v>
      </c>
      <c r="I214" s="3">
        <v>0</v>
      </c>
      <c r="J214" s="3">
        <v>0.6</v>
      </c>
      <c r="K214" s="3">
        <v>2</v>
      </c>
      <c r="L214" s="3">
        <v>0</v>
      </c>
      <c r="M214" s="3">
        <v>3</v>
      </c>
      <c r="N214" s="3">
        <v>0</v>
      </c>
      <c r="O214" s="7">
        <f t="shared" si="19"/>
        <v>-1.5281950190000009</v>
      </c>
      <c r="P214" s="7">
        <f t="shared" si="20"/>
        <v>0.1782579295572552</v>
      </c>
      <c r="Q214" s="7">
        <f t="shared" si="21"/>
        <v>0</v>
      </c>
      <c r="R214" s="3">
        <f t="shared" si="22"/>
        <v>0</v>
      </c>
      <c r="S214" s="3">
        <f t="shared" si="23"/>
        <v>0.82174207044274483</v>
      </c>
      <c r="T214" s="3">
        <f t="shared" si="24"/>
        <v>0.196328716082486</v>
      </c>
    </row>
    <row r="215" spans="1:20" x14ac:dyDescent="0.25">
      <c r="A215" s="3">
        <v>57</v>
      </c>
      <c r="B215" s="3">
        <v>1</v>
      </c>
      <c r="C215" s="3">
        <v>4</v>
      </c>
      <c r="D215" s="3">
        <v>110</v>
      </c>
      <c r="E215" s="3">
        <v>335</v>
      </c>
      <c r="F215" s="3">
        <v>0</v>
      </c>
      <c r="G215" s="3">
        <v>0</v>
      </c>
      <c r="H215" s="3">
        <v>143</v>
      </c>
      <c r="I215" s="3">
        <v>1</v>
      </c>
      <c r="J215" s="3">
        <v>3</v>
      </c>
      <c r="K215" s="3">
        <v>2</v>
      </c>
      <c r="L215" s="3">
        <v>1</v>
      </c>
      <c r="M215" s="3">
        <v>7</v>
      </c>
      <c r="N215" s="3">
        <v>1</v>
      </c>
      <c r="O215" s="7">
        <f t="shared" si="19"/>
        <v>2.7571344799999977</v>
      </c>
      <c r="P215" s="7">
        <f t="shared" si="20"/>
        <v>0.94031501610920976</v>
      </c>
      <c r="Q215" s="7">
        <f t="shared" si="21"/>
        <v>1</v>
      </c>
      <c r="R215" s="3">
        <f t="shared" si="22"/>
        <v>0</v>
      </c>
      <c r="S215" s="3">
        <f t="shared" si="23"/>
        <v>0.94031501610920976</v>
      </c>
      <c r="T215" s="3">
        <f t="shared" si="24"/>
        <v>6.1540336338996027E-2</v>
      </c>
    </row>
    <row r="216" spans="1:20" x14ac:dyDescent="0.25">
      <c r="A216" s="3">
        <v>55</v>
      </c>
      <c r="B216" s="3">
        <v>0</v>
      </c>
      <c r="C216" s="3">
        <v>4</v>
      </c>
      <c r="D216" s="3">
        <v>128</v>
      </c>
      <c r="E216" s="3">
        <v>205</v>
      </c>
      <c r="F216" s="3">
        <v>0</v>
      </c>
      <c r="G216" s="3">
        <v>1</v>
      </c>
      <c r="H216" s="3">
        <v>130</v>
      </c>
      <c r="I216" s="3">
        <v>1</v>
      </c>
      <c r="J216" s="3">
        <v>2</v>
      </c>
      <c r="K216" s="3">
        <v>2</v>
      </c>
      <c r="L216" s="3">
        <v>1</v>
      </c>
      <c r="M216" s="3">
        <v>7</v>
      </c>
      <c r="N216" s="3">
        <v>1</v>
      </c>
      <c r="O216" s="7">
        <f t="shared" si="19"/>
        <v>2.3907408429999997</v>
      </c>
      <c r="P216" s="7">
        <f t="shared" si="20"/>
        <v>0.91611851601797445</v>
      </c>
      <c r="Q216" s="7">
        <f t="shared" si="21"/>
        <v>1</v>
      </c>
      <c r="R216" s="3">
        <f t="shared" si="22"/>
        <v>0</v>
      </c>
      <c r="S216" s="3">
        <f t="shared" si="23"/>
        <v>0.91611851601797445</v>
      </c>
      <c r="T216" s="3">
        <f t="shared" si="24"/>
        <v>8.7609538378334559E-2</v>
      </c>
    </row>
    <row r="217" spans="1:20" x14ac:dyDescent="0.25">
      <c r="A217" s="3">
        <v>67</v>
      </c>
      <c r="B217" s="3">
        <v>1</v>
      </c>
      <c r="C217" s="3">
        <v>3</v>
      </c>
      <c r="D217" s="3">
        <v>152</v>
      </c>
      <c r="E217" s="3">
        <v>212</v>
      </c>
      <c r="F217" s="3">
        <v>0</v>
      </c>
      <c r="G217" s="3">
        <v>2</v>
      </c>
      <c r="H217" s="3">
        <v>150</v>
      </c>
      <c r="I217" s="3">
        <v>0</v>
      </c>
      <c r="J217" s="3">
        <v>0.8</v>
      </c>
      <c r="K217" s="3">
        <v>2</v>
      </c>
      <c r="L217" s="3">
        <v>0</v>
      </c>
      <c r="M217" s="3">
        <v>7</v>
      </c>
      <c r="N217" s="3">
        <v>1</v>
      </c>
      <c r="O217" s="7">
        <f t="shared" si="19"/>
        <v>0.50226723599999801</v>
      </c>
      <c r="P217" s="7">
        <f t="shared" si="20"/>
        <v>0.6229919919599467</v>
      </c>
      <c r="Q217" s="7">
        <f t="shared" si="21"/>
        <v>1</v>
      </c>
      <c r="R217" s="3">
        <f t="shared" si="22"/>
        <v>0</v>
      </c>
      <c r="S217" s="3">
        <f t="shared" si="23"/>
        <v>0.6229919919599467</v>
      </c>
      <c r="T217" s="3">
        <f t="shared" si="24"/>
        <v>0.47322161427417253</v>
      </c>
    </row>
    <row r="218" spans="1:20" x14ac:dyDescent="0.25">
      <c r="A218" s="3">
        <v>63</v>
      </c>
      <c r="B218" s="3">
        <v>0</v>
      </c>
      <c r="C218" s="3">
        <v>4</v>
      </c>
      <c r="D218" s="3">
        <v>124</v>
      </c>
      <c r="E218" s="3">
        <v>197</v>
      </c>
      <c r="F218" s="3">
        <v>0</v>
      </c>
      <c r="G218" s="3">
        <v>0</v>
      </c>
      <c r="H218" s="3">
        <v>136</v>
      </c>
      <c r="I218" s="3">
        <v>1</v>
      </c>
      <c r="J218" s="3">
        <v>0</v>
      </c>
      <c r="K218" s="3">
        <v>2</v>
      </c>
      <c r="L218" s="3">
        <v>0</v>
      </c>
      <c r="M218" s="3">
        <v>3</v>
      </c>
      <c r="N218" s="3">
        <v>1</v>
      </c>
      <c r="O218" s="7">
        <f t="shared" si="19"/>
        <v>-1.2797277990000007</v>
      </c>
      <c r="P218" s="7">
        <f t="shared" si="20"/>
        <v>0.21759656177154593</v>
      </c>
      <c r="Q218" s="7">
        <f t="shared" si="21"/>
        <v>0</v>
      </c>
      <c r="R218" s="3">
        <f t="shared" si="22"/>
        <v>1</v>
      </c>
      <c r="S218" s="3">
        <f t="shared" si="23"/>
        <v>0.21759656177154593</v>
      </c>
      <c r="T218" s="3">
        <f t="shared" si="24"/>
        <v>1.5251125648074153</v>
      </c>
    </row>
    <row r="219" spans="1:20" x14ac:dyDescent="0.25">
      <c r="A219" s="3">
        <v>41</v>
      </c>
      <c r="B219" s="3">
        <v>1</v>
      </c>
      <c r="C219" s="3">
        <v>2</v>
      </c>
      <c r="D219" s="3">
        <v>120</v>
      </c>
      <c r="E219" s="3">
        <v>157</v>
      </c>
      <c r="F219" s="3">
        <v>0</v>
      </c>
      <c r="G219" s="3">
        <v>0</v>
      </c>
      <c r="H219" s="3">
        <v>182</v>
      </c>
      <c r="I219" s="3">
        <v>0</v>
      </c>
      <c r="J219" s="3">
        <v>0</v>
      </c>
      <c r="K219" s="3">
        <v>1</v>
      </c>
      <c r="L219" s="3">
        <v>0</v>
      </c>
      <c r="M219" s="3">
        <v>3</v>
      </c>
      <c r="N219" s="3">
        <v>0</v>
      </c>
      <c r="O219" s="7">
        <f t="shared" si="19"/>
        <v>-4.568894965000001</v>
      </c>
      <c r="P219" s="7">
        <f t="shared" si="20"/>
        <v>1.0262990772841384E-2</v>
      </c>
      <c r="Q219" s="7">
        <f t="shared" si="21"/>
        <v>0</v>
      </c>
      <c r="R219" s="3">
        <f t="shared" si="22"/>
        <v>0</v>
      </c>
      <c r="S219" s="3">
        <f t="shared" si="23"/>
        <v>0.98973700922715857</v>
      </c>
      <c r="T219" s="3">
        <f t="shared" si="24"/>
        <v>1.0316018389275297E-2</v>
      </c>
    </row>
    <row r="223" spans="1:20" x14ac:dyDescent="0.25">
      <c r="A223" s="2" t="s">
        <v>30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1" t="s">
        <v>31</v>
      </c>
      <c r="O223" s="4" t="s">
        <v>28</v>
      </c>
      <c r="P223" s="4" t="s">
        <v>29</v>
      </c>
      <c r="Q223" s="4" t="s">
        <v>32</v>
      </c>
      <c r="R223" s="4" t="s">
        <v>33</v>
      </c>
    </row>
    <row r="224" spans="1:20" x14ac:dyDescent="0.25">
      <c r="A224" s="3">
        <v>63</v>
      </c>
      <c r="B224" s="3">
        <v>1</v>
      </c>
      <c r="C224" s="3">
        <v>1</v>
      </c>
      <c r="D224" s="3">
        <v>145</v>
      </c>
      <c r="E224" s="3">
        <v>233</v>
      </c>
      <c r="F224" s="3">
        <v>1</v>
      </c>
      <c r="G224" s="3">
        <v>2</v>
      </c>
      <c r="H224" s="3">
        <v>150</v>
      </c>
      <c r="I224" s="3">
        <v>0</v>
      </c>
      <c r="J224" s="3">
        <v>2.2999999999999998</v>
      </c>
      <c r="K224" s="3">
        <v>3</v>
      </c>
      <c r="L224" s="3">
        <v>0</v>
      </c>
      <c r="M224" s="3">
        <v>6</v>
      </c>
      <c r="N224">
        <v>0</v>
      </c>
      <c r="O224" s="3">
        <f>SUMPRODUCT(A$4:M$4, A224:M224)+N$4</f>
        <v>-0.88894513150000165</v>
      </c>
      <c r="P224" s="3">
        <f>1/(1+EXP(0-O224))</f>
        <v>0.29132756322022274</v>
      </c>
      <c r="Q224" s="3">
        <f>IF(P224&lt;0.5,0,1)</f>
        <v>0</v>
      </c>
      <c r="R224" s="3">
        <f>IF(N224=Q224,0,1)</f>
        <v>0</v>
      </c>
    </row>
    <row r="225" spans="1:18" x14ac:dyDescent="0.25">
      <c r="A225" s="3">
        <v>67</v>
      </c>
      <c r="B225" s="3">
        <v>1</v>
      </c>
      <c r="C225" s="3">
        <v>4</v>
      </c>
      <c r="D225" s="3">
        <v>120</v>
      </c>
      <c r="E225" s="3">
        <v>229</v>
      </c>
      <c r="F225" s="3">
        <v>0</v>
      </c>
      <c r="G225" s="3">
        <v>2</v>
      </c>
      <c r="H225" s="3">
        <v>129</v>
      </c>
      <c r="I225" s="3">
        <v>1</v>
      </c>
      <c r="J225" s="3">
        <v>2.6</v>
      </c>
      <c r="K225" s="3">
        <v>2</v>
      </c>
      <c r="L225" s="3">
        <v>2</v>
      </c>
      <c r="M225" s="3">
        <v>7</v>
      </c>
      <c r="N225">
        <v>1</v>
      </c>
      <c r="O225" s="3">
        <f t="shared" ref="O225:O288" si="25">SUMPRODUCT(A$4:M$4, A225:M225)+N$4</f>
        <v>4.7810549350000002</v>
      </c>
      <c r="P225" s="3">
        <f t="shared" ref="P225:P288" si="26">1/(1+EXP(0-O225))</f>
        <v>0.99168261274007174</v>
      </c>
      <c r="Q225" s="3">
        <f t="shared" ref="Q225:Q288" si="27">IF(P225&lt;0.5,0,1)</f>
        <v>1</v>
      </c>
      <c r="R225" s="3">
        <f t="shared" ref="R225:R288" si="28">IF(N225=Q225,0,1)</f>
        <v>0</v>
      </c>
    </row>
    <row r="226" spans="1:18" x14ac:dyDescent="0.25">
      <c r="A226" s="3">
        <v>37</v>
      </c>
      <c r="B226" s="3">
        <v>1</v>
      </c>
      <c r="C226" s="3">
        <v>3</v>
      </c>
      <c r="D226" s="3">
        <v>130</v>
      </c>
      <c r="E226" s="3">
        <v>250</v>
      </c>
      <c r="F226" s="3">
        <v>0</v>
      </c>
      <c r="G226" s="3">
        <v>0</v>
      </c>
      <c r="H226" s="3">
        <v>187</v>
      </c>
      <c r="I226" s="3">
        <v>0</v>
      </c>
      <c r="J226" s="3">
        <v>3.5</v>
      </c>
      <c r="K226" s="3">
        <v>3</v>
      </c>
      <c r="L226" s="3">
        <v>0</v>
      </c>
      <c r="M226" s="3">
        <v>3</v>
      </c>
      <c r="N226">
        <v>0</v>
      </c>
      <c r="O226" s="3">
        <f t="shared" si="25"/>
        <v>-0.74702144450000052</v>
      </c>
      <c r="P226" s="3">
        <f t="shared" si="26"/>
        <v>0.32147065923511026</v>
      </c>
      <c r="Q226" s="3">
        <f t="shared" si="27"/>
        <v>0</v>
      </c>
      <c r="R226" s="3">
        <f t="shared" si="28"/>
        <v>0</v>
      </c>
    </row>
    <row r="227" spans="1:18" x14ac:dyDescent="0.25">
      <c r="A227" s="3">
        <v>41</v>
      </c>
      <c r="B227" s="3">
        <v>0</v>
      </c>
      <c r="C227" s="3">
        <v>2</v>
      </c>
      <c r="D227" s="3">
        <v>130</v>
      </c>
      <c r="E227" s="3">
        <v>204</v>
      </c>
      <c r="F227" s="3">
        <v>0</v>
      </c>
      <c r="G227" s="3">
        <v>2</v>
      </c>
      <c r="H227" s="3">
        <v>172</v>
      </c>
      <c r="I227" s="3">
        <v>0</v>
      </c>
      <c r="J227" s="3">
        <v>1.4</v>
      </c>
      <c r="K227" s="3">
        <v>1</v>
      </c>
      <c r="L227" s="3">
        <v>0</v>
      </c>
      <c r="M227" s="3">
        <v>3</v>
      </c>
      <c r="N227">
        <v>0</v>
      </c>
      <c r="O227" s="3">
        <f t="shared" si="25"/>
        <v>-4.0479532040000006</v>
      </c>
      <c r="P227" s="3">
        <f t="shared" si="26"/>
        <v>1.7158516600947318E-2</v>
      </c>
      <c r="Q227" s="3">
        <f t="shared" si="27"/>
        <v>0</v>
      </c>
      <c r="R227" s="3">
        <f t="shared" si="28"/>
        <v>0</v>
      </c>
    </row>
    <row r="228" spans="1:18" x14ac:dyDescent="0.25">
      <c r="A228" s="3">
        <v>53</v>
      </c>
      <c r="B228" s="3">
        <v>1</v>
      </c>
      <c r="C228" s="3">
        <v>4</v>
      </c>
      <c r="D228" s="3">
        <v>140</v>
      </c>
      <c r="E228" s="3">
        <v>203</v>
      </c>
      <c r="F228" s="3">
        <v>1</v>
      </c>
      <c r="G228" s="3">
        <v>2</v>
      </c>
      <c r="H228" s="3">
        <v>155</v>
      </c>
      <c r="I228" s="3">
        <v>1</v>
      </c>
      <c r="J228" s="3">
        <v>3.1</v>
      </c>
      <c r="K228" s="3">
        <v>3</v>
      </c>
      <c r="L228" s="3">
        <v>0</v>
      </c>
      <c r="M228" s="3">
        <v>7</v>
      </c>
      <c r="N228">
        <v>1</v>
      </c>
      <c r="O228" s="3">
        <f t="shared" si="25"/>
        <v>2.6064603145000014</v>
      </c>
      <c r="P228" s="3">
        <f t="shared" si="26"/>
        <v>0.93127619897456582</v>
      </c>
      <c r="Q228" s="3">
        <f t="shared" si="27"/>
        <v>1</v>
      </c>
      <c r="R228" s="3">
        <f t="shared" si="28"/>
        <v>0</v>
      </c>
    </row>
    <row r="229" spans="1:18" x14ac:dyDescent="0.25">
      <c r="A229" s="3">
        <v>57</v>
      </c>
      <c r="B229" s="3">
        <v>1</v>
      </c>
      <c r="C229" s="3">
        <v>4</v>
      </c>
      <c r="D229" s="3">
        <v>140</v>
      </c>
      <c r="E229" s="3">
        <v>192</v>
      </c>
      <c r="F229" s="3">
        <v>0</v>
      </c>
      <c r="G229" s="3">
        <v>0</v>
      </c>
      <c r="H229" s="3">
        <v>148</v>
      </c>
      <c r="I229" s="3">
        <v>0</v>
      </c>
      <c r="J229" s="3">
        <v>0.4</v>
      </c>
      <c r="K229" s="3">
        <v>2</v>
      </c>
      <c r="L229" s="3">
        <v>0</v>
      </c>
      <c r="M229" s="3">
        <v>6</v>
      </c>
      <c r="N229">
        <v>0</v>
      </c>
      <c r="O229" s="3">
        <f t="shared" si="25"/>
        <v>0.19702291599999988</v>
      </c>
      <c r="P229" s="3">
        <f t="shared" si="26"/>
        <v>0.54909701088914731</v>
      </c>
      <c r="Q229" s="3">
        <f t="shared" si="27"/>
        <v>1</v>
      </c>
      <c r="R229" s="3">
        <f t="shared" si="28"/>
        <v>1</v>
      </c>
    </row>
    <row r="230" spans="1:18" x14ac:dyDescent="0.25">
      <c r="A230" s="3">
        <v>56</v>
      </c>
      <c r="B230" s="3">
        <v>1</v>
      </c>
      <c r="C230" s="3">
        <v>3</v>
      </c>
      <c r="D230" s="3">
        <v>130</v>
      </c>
      <c r="E230" s="3">
        <v>256</v>
      </c>
      <c r="F230" s="3">
        <v>1</v>
      </c>
      <c r="G230" s="3">
        <v>2</v>
      </c>
      <c r="H230" s="3">
        <v>142</v>
      </c>
      <c r="I230" s="3">
        <v>1</v>
      </c>
      <c r="J230" s="3">
        <v>0.6</v>
      </c>
      <c r="K230" s="3">
        <v>2</v>
      </c>
      <c r="L230" s="3">
        <v>1</v>
      </c>
      <c r="M230" s="3">
        <v>6</v>
      </c>
      <c r="N230">
        <v>1</v>
      </c>
      <c r="O230" s="3">
        <f t="shared" si="25"/>
        <v>1.5101644449999974</v>
      </c>
      <c r="P230" s="3">
        <f t="shared" si="26"/>
        <v>0.81908557630935208</v>
      </c>
      <c r="Q230" s="3">
        <f t="shared" si="27"/>
        <v>1</v>
      </c>
      <c r="R230" s="3">
        <f t="shared" si="28"/>
        <v>0</v>
      </c>
    </row>
    <row r="231" spans="1:18" x14ac:dyDescent="0.25">
      <c r="A231" s="3">
        <v>52</v>
      </c>
      <c r="B231" s="3">
        <v>1</v>
      </c>
      <c r="C231" s="3">
        <v>3</v>
      </c>
      <c r="D231" s="3">
        <v>172</v>
      </c>
      <c r="E231" s="3">
        <v>199</v>
      </c>
      <c r="F231" s="3">
        <v>1</v>
      </c>
      <c r="G231" s="3">
        <v>0</v>
      </c>
      <c r="H231" s="3">
        <v>162</v>
      </c>
      <c r="I231" s="3">
        <v>0</v>
      </c>
      <c r="J231" s="3">
        <v>0.5</v>
      </c>
      <c r="K231" s="3">
        <v>1</v>
      </c>
      <c r="L231" s="3">
        <v>0</v>
      </c>
      <c r="M231" s="3">
        <v>7</v>
      </c>
      <c r="N231">
        <v>0</v>
      </c>
      <c r="O231" s="3">
        <f t="shared" si="25"/>
        <v>-0.89930066049999891</v>
      </c>
      <c r="P231" s="3">
        <f t="shared" si="26"/>
        <v>0.28919423305597702</v>
      </c>
      <c r="Q231" s="3">
        <f t="shared" si="27"/>
        <v>0</v>
      </c>
      <c r="R231" s="3">
        <f t="shared" si="28"/>
        <v>0</v>
      </c>
    </row>
    <row r="232" spans="1:18" x14ac:dyDescent="0.25">
      <c r="A232" s="3">
        <v>48</v>
      </c>
      <c r="B232" s="3">
        <v>1</v>
      </c>
      <c r="C232" s="3">
        <v>2</v>
      </c>
      <c r="D232" s="3">
        <v>110</v>
      </c>
      <c r="E232" s="3">
        <v>229</v>
      </c>
      <c r="F232" s="3">
        <v>0</v>
      </c>
      <c r="G232" s="3">
        <v>0</v>
      </c>
      <c r="H232" s="3">
        <v>168</v>
      </c>
      <c r="I232" s="3">
        <v>0</v>
      </c>
      <c r="J232" s="3">
        <v>1</v>
      </c>
      <c r="K232" s="3">
        <v>3</v>
      </c>
      <c r="L232" s="3">
        <v>0</v>
      </c>
      <c r="M232" s="3">
        <v>7</v>
      </c>
      <c r="N232">
        <v>1</v>
      </c>
      <c r="O232" s="3">
        <f t="shared" si="25"/>
        <v>-1.3301307270000011</v>
      </c>
      <c r="P232" s="3">
        <f t="shared" si="26"/>
        <v>0.2091377422566198</v>
      </c>
      <c r="Q232" s="3">
        <f t="shared" si="27"/>
        <v>0</v>
      </c>
      <c r="R232" s="3">
        <f t="shared" si="28"/>
        <v>1</v>
      </c>
    </row>
    <row r="233" spans="1:18" x14ac:dyDescent="0.25">
      <c r="A233" s="3">
        <v>60</v>
      </c>
      <c r="B233" s="3">
        <v>1</v>
      </c>
      <c r="C233" s="3">
        <v>4</v>
      </c>
      <c r="D233" s="3">
        <v>130</v>
      </c>
      <c r="E233" s="3">
        <v>206</v>
      </c>
      <c r="F233" s="3">
        <v>0</v>
      </c>
      <c r="G233" s="3">
        <v>2</v>
      </c>
      <c r="H233" s="3">
        <v>132</v>
      </c>
      <c r="I233" s="3">
        <v>1</v>
      </c>
      <c r="J233" s="3">
        <v>2.4</v>
      </c>
      <c r="K233" s="3">
        <v>2</v>
      </c>
      <c r="L233" s="3">
        <v>2</v>
      </c>
      <c r="M233" s="3">
        <v>7</v>
      </c>
      <c r="N233">
        <v>1</v>
      </c>
      <c r="O233" s="3">
        <f t="shared" si="25"/>
        <v>5.0033743939999979</v>
      </c>
      <c r="P233" s="3">
        <f t="shared" si="26"/>
        <v>0.99332954493657177</v>
      </c>
      <c r="Q233" s="3">
        <f t="shared" si="27"/>
        <v>1</v>
      </c>
      <c r="R233" s="3">
        <f t="shared" si="28"/>
        <v>0</v>
      </c>
    </row>
    <row r="234" spans="1:18" x14ac:dyDescent="0.25">
      <c r="A234" s="3">
        <v>50</v>
      </c>
      <c r="B234" s="3">
        <v>0</v>
      </c>
      <c r="C234" s="3">
        <v>3</v>
      </c>
      <c r="D234" s="3">
        <v>120</v>
      </c>
      <c r="E234" s="3">
        <v>219</v>
      </c>
      <c r="F234" s="3">
        <v>0</v>
      </c>
      <c r="G234" s="3">
        <v>0</v>
      </c>
      <c r="H234" s="3">
        <v>158</v>
      </c>
      <c r="I234" s="3">
        <v>0</v>
      </c>
      <c r="J234" s="3">
        <v>1.6</v>
      </c>
      <c r="K234" s="3">
        <v>2</v>
      </c>
      <c r="L234" s="3">
        <v>0</v>
      </c>
      <c r="M234" s="3">
        <v>3</v>
      </c>
      <c r="N234">
        <v>0</v>
      </c>
      <c r="O234" s="3">
        <f t="shared" si="25"/>
        <v>-2.8681350629999995</v>
      </c>
      <c r="P234" s="3">
        <f t="shared" si="26"/>
        <v>5.3751427925683624E-2</v>
      </c>
      <c r="Q234" s="3">
        <f t="shared" si="27"/>
        <v>0</v>
      </c>
      <c r="R234" s="3">
        <f t="shared" si="28"/>
        <v>0</v>
      </c>
    </row>
    <row r="235" spans="1:18" x14ac:dyDescent="0.25">
      <c r="A235" s="3">
        <v>43</v>
      </c>
      <c r="B235" s="3">
        <v>1</v>
      </c>
      <c r="C235" s="3">
        <v>4</v>
      </c>
      <c r="D235" s="3">
        <v>150</v>
      </c>
      <c r="E235" s="3">
        <v>247</v>
      </c>
      <c r="F235" s="3">
        <v>0</v>
      </c>
      <c r="G235" s="3">
        <v>0</v>
      </c>
      <c r="H235" s="3">
        <v>171</v>
      </c>
      <c r="I235" s="3">
        <v>0</v>
      </c>
      <c r="J235" s="3">
        <v>1.5</v>
      </c>
      <c r="K235" s="3">
        <v>1</v>
      </c>
      <c r="L235" s="3">
        <v>0</v>
      </c>
      <c r="M235" s="3">
        <v>3</v>
      </c>
      <c r="N235">
        <v>0</v>
      </c>
      <c r="O235" s="3">
        <f t="shared" si="25"/>
        <v>-1.2024373664999999</v>
      </c>
      <c r="P235" s="3">
        <f t="shared" si="26"/>
        <v>0.231041906363916</v>
      </c>
      <c r="Q235" s="3">
        <f t="shared" si="27"/>
        <v>0</v>
      </c>
      <c r="R235" s="3">
        <f t="shared" si="28"/>
        <v>0</v>
      </c>
    </row>
    <row r="236" spans="1:18" x14ac:dyDescent="0.25">
      <c r="A236" s="3">
        <v>69</v>
      </c>
      <c r="B236" s="3">
        <v>0</v>
      </c>
      <c r="C236" s="3">
        <v>1</v>
      </c>
      <c r="D236" s="3">
        <v>140</v>
      </c>
      <c r="E236" s="3">
        <v>239</v>
      </c>
      <c r="F236" s="3">
        <v>0</v>
      </c>
      <c r="G236" s="3">
        <v>0</v>
      </c>
      <c r="H236" s="3">
        <v>151</v>
      </c>
      <c r="I236" s="3">
        <v>0</v>
      </c>
      <c r="J236" s="3">
        <v>1.8</v>
      </c>
      <c r="K236" s="3">
        <v>1</v>
      </c>
      <c r="L236" s="3">
        <v>2</v>
      </c>
      <c r="M236" s="3">
        <v>3</v>
      </c>
      <c r="N236">
        <v>0</v>
      </c>
      <c r="O236" s="3">
        <f t="shared" si="25"/>
        <v>-1.9341174640000007</v>
      </c>
      <c r="P236" s="3">
        <f t="shared" si="26"/>
        <v>0.12629553912083005</v>
      </c>
      <c r="Q236" s="3">
        <f t="shared" si="27"/>
        <v>0</v>
      </c>
      <c r="R236" s="3">
        <f t="shared" si="28"/>
        <v>0</v>
      </c>
    </row>
    <row r="237" spans="1:18" x14ac:dyDescent="0.25">
      <c r="A237" s="3">
        <v>43</v>
      </c>
      <c r="B237" s="3">
        <v>1</v>
      </c>
      <c r="C237" s="3">
        <v>4</v>
      </c>
      <c r="D237" s="3">
        <v>120</v>
      </c>
      <c r="E237" s="3">
        <v>177</v>
      </c>
      <c r="F237" s="3">
        <v>0</v>
      </c>
      <c r="G237" s="3">
        <v>2</v>
      </c>
      <c r="H237" s="3">
        <v>120</v>
      </c>
      <c r="I237" s="3">
        <v>1</v>
      </c>
      <c r="J237" s="3">
        <v>2.5</v>
      </c>
      <c r="K237" s="3">
        <v>2</v>
      </c>
      <c r="L237" s="3">
        <v>0</v>
      </c>
      <c r="M237" s="3">
        <v>7</v>
      </c>
      <c r="N237">
        <v>1</v>
      </c>
      <c r="O237" s="3">
        <f t="shared" si="25"/>
        <v>2.2773319814999979</v>
      </c>
      <c r="P237" s="3">
        <f t="shared" si="26"/>
        <v>0.90698220248066086</v>
      </c>
      <c r="Q237" s="3">
        <f t="shared" si="27"/>
        <v>1</v>
      </c>
      <c r="R237" s="3">
        <f t="shared" si="28"/>
        <v>0</v>
      </c>
    </row>
    <row r="238" spans="1:18" x14ac:dyDescent="0.25">
      <c r="A238" s="3">
        <v>59</v>
      </c>
      <c r="B238" s="3">
        <v>1</v>
      </c>
      <c r="C238" s="3">
        <v>3</v>
      </c>
      <c r="D238" s="3">
        <v>150</v>
      </c>
      <c r="E238" s="3">
        <v>212</v>
      </c>
      <c r="F238" s="3">
        <v>1</v>
      </c>
      <c r="G238" s="3">
        <v>0</v>
      </c>
      <c r="H238" s="3">
        <v>157</v>
      </c>
      <c r="I238" s="3">
        <v>0</v>
      </c>
      <c r="J238" s="3">
        <v>1.6</v>
      </c>
      <c r="K238" s="3">
        <v>1</v>
      </c>
      <c r="L238" s="3">
        <v>0</v>
      </c>
      <c r="M238" s="3">
        <v>3</v>
      </c>
      <c r="N238">
        <v>0</v>
      </c>
      <c r="O238" s="3">
        <f t="shared" si="25"/>
        <v>-2.4829681960000016</v>
      </c>
      <c r="P238" s="3">
        <f t="shared" si="26"/>
        <v>7.7060831543669495E-2</v>
      </c>
      <c r="Q238" s="3">
        <f t="shared" si="27"/>
        <v>0</v>
      </c>
      <c r="R238" s="3">
        <f t="shared" si="28"/>
        <v>0</v>
      </c>
    </row>
    <row r="239" spans="1:18" x14ac:dyDescent="0.25">
      <c r="A239" s="3">
        <v>58</v>
      </c>
      <c r="B239" s="3">
        <v>1</v>
      </c>
      <c r="C239" s="3">
        <v>3</v>
      </c>
      <c r="D239" s="3">
        <v>112</v>
      </c>
      <c r="E239" s="3">
        <v>230</v>
      </c>
      <c r="F239" s="3">
        <v>0</v>
      </c>
      <c r="G239" s="3">
        <v>2</v>
      </c>
      <c r="H239" s="3">
        <v>165</v>
      </c>
      <c r="I239" s="3">
        <v>0</v>
      </c>
      <c r="J239" s="3">
        <v>2.5</v>
      </c>
      <c r="K239" s="3">
        <v>2</v>
      </c>
      <c r="L239" s="3">
        <v>1</v>
      </c>
      <c r="M239" s="3">
        <v>7</v>
      </c>
      <c r="N239">
        <v>1</v>
      </c>
      <c r="O239" s="3">
        <f t="shared" si="25"/>
        <v>0.88631666949999754</v>
      </c>
      <c r="P239" s="3">
        <f t="shared" si="26"/>
        <v>0.70812947802413206</v>
      </c>
      <c r="Q239" s="3">
        <f t="shared" si="27"/>
        <v>1</v>
      </c>
      <c r="R239" s="3">
        <f t="shared" si="28"/>
        <v>0</v>
      </c>
    </row>
    <row r="240" spans="1:18" x14ac:dyDescent="0.25">
      <c r="A240" s="3">
        <v>53</v>
      </c>
      <c r="B240" s="3">
        <v>1</v>
      </c>
      <c r="C240" s="3">
        <v>3</v>
      </c>
      <c r="D240" s="3">
        <v>130</v>
      </c>
      <c r="E240" s="3">
        <v>197</v>
      </c>
      <c r="F240" s="3">
        <v>1</v>
      </c>
      <c r="G240" s="3">
        <v>2</v>
      </c>
      <c r="H240" s="3">
        <v>152</v>
      </c>
      <c r="I240" s="3">
        <v>0</v>
      </c>
      <c r="J240" s="3">
        <v>1.2</v>
      </c>
      <c r="K240" s="3">
        <v>3</v>
      </c>
      <c r="L240" s="3">
        <v>0</v>
      </c>
      <c r="M240" s="3">
        <v>3</v>
      </c>
      <c r="N240">
        <v>0</v>
      </c>
      <c r="O240" s="3">
        <f t="shared" si="25"/>
        <v>-0.8638924690000005</v>
      </c>
      <c r="P240" s="3">
        <f t="shared" si="26"/>
        <v>0.29652673937691898</v>
      </c>
      <c r="Q240" s="3">
        <f t="shared" si="27"/>
        <v>0</v>
      </c>
      <c r="R240" s="3">
        <f t="shared" si="28"/>
        <v>0</v>
      </c>
    </row>
    <row r="241" spans="1:18" x14ac:dyDescent="0.25">
      <c r="A241" s="3">
        <v>44</v>
      </c>
      <c r="B241" s="3">
        <v>1</v>
      </c>
      <c r="C241" s="3">
        <v>4</v>
      </c>
      <c r="D241" s="3">
        <v>112</v>
      </c>
      <c r="E241" s="3">
        <v>290</v>
      </c>
      <c r="F241" s="3">
        <v>0</v>
      </c>
      <c r="G241" s="3">
        <v>2</v>
      </c>
      <c r="H241" s="3">
        <v>153</v>
      </c>
      <c r="I241" s="3">
        <v>0</v>
      </c>
      <c r="J241" s="3">
        <v>0</v>
      </c>
      <c r="K241" s="3">
        <v>1</v>
      </c>
      <c r="L241" s="3">
        <v>1</v>
      </c>
      <c r="M241" s="3">
        <v>3</v>
      </c>
      <c r="N241">
        <v>1</v>
      </c>
      <c r="O241" s="3">
        <f t="shared" si="25"/>
        <v>-0.36192005799999905</v>
      </c>
      <c r="P241" s="3">
        <f t="shared" si="26"/>
        <v>0.41049485363433796</v>
      </c>
      <c r="Q241" s="3">
        <f t="shared" si="27"/>
        <v>0</v>
      </c>
      <c r="R241" s="3">
        <f t="shared" si="28"/>
        <v>1</v>
      </c>
    </row>
    <row r="242" spans="1:18" x14ac:dyDescent="0.25">
      <c r="A242" s="3">
        <v>51</v>
      </c>
      <c r="B242" s="3">
        <v>1</v>
      </c>
      <c r="C242" s="3">
        <v>1</v>
      </c>
      <c r="D242" s="3">
        <v>125</v>
      </c>
      <c r="E242" s="3">
        <v>213</v>
      </c>
      <c r="F242" s="3">
        <v>0</v>
      </c>
      <c r="G242" s="3">
        <v>2</v>
      </c>
      <c r="H242" s="3">
        <v>125</v>
      </c>
      <c r="I242" s="3">
        <v>1</v>
      </c>
      <c r="J242" s="3">
        <v>1.4</v>
      </c>
      <c r="K242" s="3">
        <v>1</v>
      </c>
      <c r="L242" s="3">
        <v>1</v>
      </c>
      <c r="M242" s="3">
        <v>3</v>
      </c>
      <c r="N242">
        <v>0</v>
      </c>
      <c r="O242" s="3">
        <f t="shared" si="25"/>
        <v>-1.0895072400000014</v>
      </c>
      <c r="P242" s="3">
        <f t="shared" si="26"/>
        <v>0.25171107967022349</v>
      </c>
      <c r="Q242" s="3">
        <f t="shared" si="27"/>
        <v>0</v>
      </c>
      <c r="R242" s="3">
        <f t="shared" si="28"/>
        <v>0</v>
      </c>
    </row>
    <row r="243" spans="1:18" x14ac:dyDescent="0.25">
      <c r="A243" s="3">
        <v>46</v>
      </c>
      <c r="B243" s="3">
        <v>0</v>
      </c>
      <c r="C243" s="3">
        <v>3</v>
      </c>
      <c r="D243" s="3">
        <v>142</v>
      </c>
      <c r="E243" s="3">
        <v>177</v>
      </c>
      <c r="F243" s="3">
        <v>0</v>
      </c>
      <c r="G243" s="3">
        <v>2</v>
      </c>
      <c r="H243" s="3">
        <v>160</v>
      </c>
      <c r="I243" s="3">
        <v>1</v>
      </c>
      <c r="J243" s="3">
        <v>1.4</v>
      </c>
      <c r="K243" s="3">
        <v>3</v>
      </c>
      <c r="L243" s="3">
        <v>0</v>
      </c>
      <c r="M243" s="3">
        <v>3</v>
      </c>
      <c r="N243">
        <v>0</v>
      </c>
      <c r="O243" s="3">
        <f t="shared" si="25"/>
        <v>-0.26666298700000013</v>
      </c>
      <c r="P243" s="3">
        <f t="shared" si="26"/>
        <v>0.43372650955926512</v>
      </c>
      <c r="Q243" s="3">
        <f t="shared" si="27"/>
        <v>0</v>
      </c>
      <c r="R243" s="3">
        <f t="shared" si="28"/>
        <v>0</v>
      </c>
    </row>
    <row r="244" spans="1:18" x14ac:dyDescent="0.25">
      <c r="A244" s="3">
        <v>54</v>
      </c>
      <c r="B244" s="3">
        <v>0</v>
      </c>
      <c r="C244" s="3">
        <v>3</v>
      </c>
      <c r="D244" s="3">
        <v>135</v>
      </c>
      <c r="E244" s="3">
        <v>304</v>
      </c>
      <c r="F244" s="3">
        <v>1</v>
      </c>
      <c r="G244" s="3">
        <v>0</v>
      </c>
      <c r="H244" s="3">
        <v>170</v>
      </c>
      <c r="I244" s="3">
        <v>0</v>
      </c>
      <c r="J244" s="3">
        <v>0</v>
      </c>
      <c r="K244" s="3">
        <v>1</v>
      </c>
      <c r="L244" s="3">
        <v>0</v>
      </c>
      <c r="M244" s="3">
        <v>3</v>
      </c>
      <c r="N244">
        <v>0</v>
      </c>
      <c r="O244" s="3">
        <f t="shared" si="25"/>
        <v>-4.2128532720000011</v>
      </c>
      <c r="P244" s="3">
        <f t="shared" si="26"/>
        <v>1.4588104693229005E-2</v>
      </c>
      <c r="Q244" s="3">
        <f t="shared" si="27"/>
        <v>0</v>
      </c>
      <c r="R244" s="3">
        <f t="shared" si="28"/>
        <v>0</v>
      </c>
    </row>
    <row r="245" spans="1:18" x14ac:dyDescent="0.25">
      <c r="A245" s="3">
        <v>62</v>
      </c>
      <c r="B245" s="3">
        <v>1</v>
      </c>
      <c r="C245" s="3">
        <v>4</v>
      </c>
      <c r="D245" s="3">
        <v>120</v>
      </c>
      <c r="E245" s="3">
        <v>267</v>
      </c>
      <c r="F245" s="3">
        <v>0</v>
      </c>
      <c r="G245" s="3">
        <v>0</v>
      </c>
      <c r="H245" s="3">
        <v>99</v>
      </c>
      <c r="I245" s="3">
        <v>1</v>
      </c>
      <c r="J245" s="3">
        <v>1.8</v>
      </c>
      <c r="K245" s="3">
        <v>2</v>
      </c>
      <c r="L245" s="3">
        <v>2</v>
      </c>
      <c r="M245" s="3">
        <v>7</v>
      </c>
      <c r="N245">
        <v>1</v>
      </c>
      <c r="O245" s="3">
        <f t="shared" si="25"/>
        <v>4.9012263239999996</v>
      </c>
      <c r="P245" s="3">
        <f t="shared" si="26"/>
        <v>0.99261745064702966</v>
      </c>
      <c r="Q245" s="3">
        <f t="shared" si="27"/>
        <v>1</v>
      </c>
      <c r="R245" s="3">
        <f t="shared" si="28"/>
        <v>0</v>
      </c>
    </row>
    <row r="246" spans="1:18" x14ac:dyDescent="0.25">
      <c r="A246" s="3">
        <v>44</v>
      </c>
      <c r="B246" s="3">
        <v>1</v>
      </c>
      <c r="C246" s="3">
        <v>4</v>
      </c>
      <c r="D246" s="3">
        <v>110</v>
      </c>
      <c r="E246" s="3">
        <v>197</v>
      </c>
      <c r="F246" s="3">
        <v>0</v>
      </c>
      <c r="G246" s="3">
        <v>2</v>
      </c>
      <c r="H246" s="3">
        <v>177</v>
      </c>
      <c r="I246" s="3">
        <v>0</v>
      </c>
      <c r="J246" s="3">
        <v>0</v>
      </c>
      <c r="K246" s="3">
        <v>1</v>
      </c>
      <c r="L246" s="3">
        <v>1</v>
      </c>
      <c r="M246" s="3">
        <v>3</v>
      </c>
      <c r="N246">
        <v>1</v>
      </c>
      <c r="O246" s="3">
        <f t="shared" si="25"/>
        <v>-1.1573485350000006</v>
      </c>
      <c r="P246" s="3">
        <f t="shared" si="26"/>
        <v>0.23914940395210466</v>
      </c>
      <c r="Q246" s="3">
        <f t="shared" si="27"/>
        <v>0</v>
      </c>
      <c r="R246" s="3">
        <f t="shared" si="28"/>
        <v>1</v>
      </c>
    </row>
    <row r="247" spans="1:18" x14ac:dyDescent="0.25">
      <c r="A247" s="3">
        <v>65</v>
      </c>
      <c r="B247" s="3">
        <v>0</v>
      </c>
      <c r="C247" s="3">
        <v>3</v>
      </c>
      <c r="D247" s="3">
        <v>160</v>
      </c>
      <c r="E247" s="3">
        <v>360</v>
      </c>
      <c r="F247" s="3">
        <v>0</v>
      </c>
      <c r="G247" s="3">
        <v>2</v>
      </c>
      <c r="H247" s="3">
        <v>151</v>
      </c>
      <c r="I247" s="3">
        <v>0</v>
      </c>
      <c r="J247" s="3">
        <v>0.8</v>
      </c>
      <c r="K247" s="3">
        <v>1</v>
      </c>
      <c r="L247" s="3">
        <v>0</v>
      </c>
      <c r="M247" s="3">
        <v>3</v>
      </c>
      <c r="N247">
        <v>0</v>
      </c>
      <c r="O247" s="3">
        <f t="shared" si="25"/>
        <v>-1.8656900280000004</v>
      </c>
      <c r="P247" s="3">
        <f t="shared" si="26"/>
        <v>0.13404121032972463</v>
      </c>
      <c r="Q247" s="3">
        <f t="shared" si="27"/>
        <v>0</v>
      </c>
      <c r="R247" s="3">
        <f t="shared" si="28"/>
        <v>0</v>
      </c>
    </row>
    <row r="248" spans="1:18" x14ac:dyDescent="0.25">
      <c r="A248" s="3">
        <v>68</v>
      </c>
      <c r="B248" s="3">
        <v>1</v>
      </c>
      <c r="C248" s="3">
        <v>3</v>
      </c>
      <c r="D248" s="3">
        <v>180</v>
      </c>
      <c r="E248" s="3">
        <v>274</v>
      </c>
      <c r="F248" s="3">
        <v>1</v>
      </c>
      <c r="G248" s="3">
        <v>2</v>
      </c>
      <c r="H248" s="3">
        <v>150</v>
      </c>
      <c r="I248" s="3">
        <v>1</v>
      </c>
      <c r="J248" s="3">
        <v>1.6</v>
      </c>
      <c r="K248" s="3">
        <v>2</v>
      </c>
      <c r="L248" s="3">
        <v>0</v>
      </c>
      <c r="M248" s="3">
        <v>7</v>
      </c>
      <c r="N248">
        <v>1</v>
      </c>
      <c r="O248" s="3">
        <f t="shared" si="25"/>
        <v>1.9236023759999998</v>
      </c>
      <c r="P248" s="3">
        <f t="shared" si="26"/>
        <v>0.87253960714602175</v>
      </c>
      <c r="Q248" s="3">
        <f t="shared" si="27"/>
        <v>1</v>
      </c>
      <c r="R248" s="3">
        <f t="shared" si="28"/>
        <v>0</v>
      </c>
    </row>
    <row r="249" spans="1:18" x14ac:dyDescent="0.25">
      <c r="A249" s="3">
        <v>53</v>
      </c>
      <c r="B249" s="3">
        <v>0</v>
      </c>
      <c r="C249" s="3">
        <v>4</v>
      </c>
      <c r="D249" s="3">
        <v>138</v>
      </c>
      <c r="E249" s="3">
        <v>234</v>
      </c>
      <c r="F249" s="3">
        <v>0</v>
      </c>
      <c r="G249" s="3">
        <v>2</v>
      </c>
      <c r="H249" s="3">
        <v>160</v>
      </c>
      <c r="I249" s="3">
        <v>0</v>
      </c>
      <c r="J249" s="3">
        <v>0</v>
      </c>
      <c r="K249" s="3">
        <v>1</v>
      </c>
      <c r="L249" s="3">
        <v>0</v>
      </c>
      <c r="M249" s="3">
        <v>3</v>
      </c>
      <c r="N249">
        <v>0</v>
      </c>
      <c r="O249" s="3">
        <f t="shared" si="25"/>
        <v>-2.2595207769999996</v>
      </c>
      <c r="P249" s="3">
        <f t="shared" si="26"/>
        <v>9.4531380168219367E-2</v>
      </c>
      <c r="Q249" s="3">
        <f t="shared" si="27"/>
        <v>0</v>
      </c>
      <c r="R249" s="3">
        <f t="shared" si="28"/>
        <v>0</v>
      </c>
    </row>
    <row r="250" spans="1:18" x14ac:dyDescent="0.25">
      <c r="A250" s="3">
        <v>63</v>
      </c>
      <c r="B250" s="3">
        <v>0</v>
      </c>
      <c r="C250" s="3">
        <v>3</v>
      </c>
      <c r="D250" s="3">
        <v>135</v>
      </c>
      <c r="E250" s="3">
        <v>252</v>
      </c>
      <c r="F250" s="3">
        <v>0</v>
      </c>
      <c r="G250" s="3">
        <v>2</v>
      </c>
      <c r="H250" s="3">
        <v>172</v>
      </c>
      <c r="I250" s="3">
        <v>0</v>
      </c>
      <c r="J250" s="3">
        <v>0</v>
      </c>
      <c r="K250" s="3">
        <v>1</v>
      </c>
      <c r="L250" s="3">
        <v>0</v>
      </c>
      <c r="M250" s="3">
        <v>3</v>
      </c>
      <c r="N250">
        <v>0</v>
      </c>
      <c r="O250" s="3">
        <f t="shared" si="25"/>
        <v>-3.505768262000001</v>
      </c>
      <c r="P250" s="3">
        <f t="shared" si="26"/>
        <v>2.914855110724494E-2</v>
      </c>
      <c r="Q250" s="3">
        <f t="shared" si="27"/>
        <v>0</v>
      </c>
      <c r="R250" s="3">
        <f t="shared" si="28"/>
        <v>0</v>
      </c>
    </row>
    <row r="251" spans="1:18" x14ac:dyDescent="0.25">
      <c r="A251" s="3">
        <v>48</v>
      </c>
      <c r="B251" s="3">
        <v>1</v>
      </c>
      <c r="C251" s="3">
        <v>4</v>
      </c>
      <c r="D251" s="3">
        <v>122</v>
      </c>
      <c r="E251" s="3">
        <v>222</v>
      </c>
      <c r="F251" s="3">
        <v>0</v>
      </c>
      <c r="G251" s="3">
        <v>2</v>
      </c>
      <c r="H251" s="3">
        <v>186</v>
      </c>
      <c r="I251" s="3">
        <v>0</v>
      </c>
      <c r="J251" s="3">
        <v>0</v>
      </c>
      <c r="K251" s="3">
        <v>1</v>
      </c>
      <c r="L251" s="3">
        <v>0</v>
      </c>
      <c r="M251" s="3">
        <v>3</v>
      </c>
      <c r="N251">
        <v>0</v>
      </c>
      <c r="O251" s="3">
        <f t="shared" si="25"/>
        <v>-2.3640088550000007</v>
      </c>
      <c r="P251" s="3">
        <f t="shared" si="26"/>
        <v>8.5958696313672658E-2</v>
      </c>
      <c r="Q251" s="3">
        <f t="shared" si="27"/>
        <v>0</v>
      </c>
      <c r="R251" s="3">
        <f t="shared" si="28"/>
        <v>0</v>
      </c>
    </row>
    <row r="252" spans="1:18" x14ac:dyDescent="0.25">
      <c r="A252" s="3">
        <v>45</v>
      </c>
      <c r="B252" s="3">
        <v>1</v>
      </c>
      <c r="C252" s="3">
        <v>4</v>
      </c>
      <c r="D252" s="3">
        <v>115</v>
      </c>
      <c r="E252" s="3">
        <v>260</v>
      </c>
      <c r="F252" s="3">
        <v>0</v>
      </c>
      <c r="G252" s="3">
        <v>2</v>
      </c>
      <c r="H252" s="3">
        <v>185</v>
      </c>
      <c r="I252" s="3">
        <v>0</v>
      </c>
      <c r="J252" s="3">
        <v>0</v>
      </c>
      <c r="K252" s="3">
        <v>1</v>
      </c>
      <c r="L252" s="3">
        <v>0</v>
      </c>
      <c r="M252" s="3">
        <v>3</v>
      </c>
      <c r="N252">
        <v>0</v>
      </c>
      <c r="O252" s="3">
        <f t="shared" si="25"/>
        <v>-2.4324765339999992</v>
      </c>
      <c r="P252" s="3">
        <f t="shared" si="26"/>
        <v>8.0729487147784301E-2</v>
      </c>
      <c r="Q252" s="3">
        <f t="shared" si="27"/>
        <v>0</v>
      </c>
      <c r="R252" s="3">
        <f t="shared" si="28"/>
        <v>0</v>
      </c>
    </row>
    <row r="253" spans="1:18" x14ac:dyDescent="0.25">
      <c r="A253" s="3">
        <v>57</v>
      </c>
      <c r="B253" s="3">
        <v>0</v>
      </c>
      <c r="C253" s="3">
        <v>4</v>
      </c>
      <c r="D253" s="3">
        <v>128</v>
      </c>
      <c r="E253" s="3">
        <v>303</v>
      </c>
      <c r="F253" s="3">
        <v>0</v>
      </c>
      <c r="G253" s="3">
        <v>2</v>
      </c>
      <c r="H253" s="3">
        <v>159</v>
      </c>
      <c r="I253" s="3">
        <v>0</v>
      </c>
      <c r="J253" s="3">
        <v>0</v>
      </c>
      <c r="K253" s="3">
        <v>1</v>
      </c>
      <c r="L253" s="3">
        <v>1</v>
      </c>
      <c r="M253" s="3">
        <v>3</v>
      </c>
      <c r="N253">
        <v>0</v>
      </c>
      <c r="O253" s="3">
        <f t="shared" si="25"/>
        <v>-1.0174593830000003</v>
      </c>
      <c r="P253" s="3">
        <f t="shared" si="26"/>
        <v>0.26552257726841844</v>
      </c>
      <c r="Q253" s="3">
        <f t="shared" si="27"/>
        <v>0</v>
      </c>
      <c r="R253" s="3">
        <f t="shared" si="28"/>
        <v>0</v>
      </c>
    </row>
    <row r="254" spans="1:18" x14ac:dyDescent="0.25">
      <c r="A254" s="3">
        <v>43</v>
      </c>
      <c r="B254" s="3">
        <v>0</v>
      </c>
      <c r="C254" s="3">
        <v>4</v>
      </c>
      <c r="D254" s="3">
        <v>132</v>
      </c>
      <c r="E254" s="3">
        <v>341</v>
      </c>
      <c r="F254" s="3">
        <v>1</v>
      </c>
      <c r="G254" s="3">
        <v>2</v>
      </c>
      <c r="H254" s="3">
        <v>136</v>
      </c>
      <c r="I254" s="3">
        <v>1</v>
      </c>
      <c r="J254" s="3">
        <v>3</v>
      </c>
      <c r="K254" s="3">
        <v>2</v>
      </c>
      <c r="L254" s="3">
        <v>0</v>
      </c>
      <c r="M254" s="3">
        <v>7</v>
      </c>
      <c r="N254">
        <v>1</v>
      </c>
      <c r="O254" s="3">
        <f t="shared" si="25"/>
        <v>1.4187600909999993</v>
      </c>
      <c r="P254" s="3">
        <f t="shared" si="26"/>
        <v>0.80514396420142553</v>
      </c>
      <c r="Q254" s="3">
        <f t="shared" si="27"/>
        <v>1</v>
      </c>
      <c r="R254" s="3">
        <f t="shared" si="28"/>
        <v>0</v>
      </c>
    </row>
    <row r="255" spans="1:18" x14ac:dyDescent="0.25">
      <c r="A255" s="3">
        <v>35</v>
      </c>
      <c r="B255" s="3">
        <v>0</v>
      </c>
      <c r="C255" s="3">
        <v>4</v>
      </c>
      <c r="D255" s="3">
        <v>138</v>
      </c>
      <c r="E255" s="3">
        <v>183</v>
      </c>
      <c r="F255" s="3">
        <v>0</v>
      </c>
      <c r="G255" s="3">
        <v>0</v>
      </c>
      <c r="H255" s="3">
        <v>182</v>
      </c>
      <c r="I255" s="3">
        <v>0</v>
      </c>
      <c r="J255" s="3">
        <v>1.4</v>
      </c>
      <c r="K255" s="3">
        <v>1</v>
      </c>
      <c r="L255" s="3">
        <v>0</v>
      </c>
      <c r="M255" s="3">
        <v>3</v>
      </c>
      <c r="N255">
        <v>0</v>
      </c>
      <c r="O255" s="3">
        <f t="shared" si="25"/>
        <v>-2.8065977830000008</v>
      </c>
      <c r="P255" s="3">
        <f t="shared" si="26"/>
        <v>5.6968683712119904E-2</v>
      </c>
      <c r="Q255" s="3">
        <f t="shared" si="27"/>
        <v>0</v>
      </c>
      <c r="R255" s="3">
        <f t="shared" si="28"/>
        <v>0</v>
      </c>
    </row>
    <row r="256" spans="1:18" x14ac:dyDescent="0.25">
      <c r="A256" s="3">
        <v>63</v>
      </c>
      <c r="B256" s="3">
        <v>0</v>
      </c>
      <c r="C256" s="3">
        <v>4</v>
      </c>
      <c r="D256" s="3">
        <v>150</v>
      </c>
      <c r="E256" s="3">
        <v>407</v>
      </c>
      <c r="F256" s="3">
        <v>0</v>
      </c>
      <c r="G256" s="3">
        <v>2</v>
      </c>
      <c r="H256" s="3">
        <v>154</v>
      </c>
      <c r="I256" s="3">
        <v>0</v>
      </c>
      <c r="J256" s="3">
        <v>4</v>
      </c>
      <c r="K256" s="3">
        <v>2</v>
      </c>
      <c r="L256" s="3">
        <v>3</v>
      </c>
      <c r="M256" s="3">
        <v>7</v>
      </c>
      <c r="N256">
        <v>1</v>
      </c>
      <c r="O256" s="3">
        <f t="shared" si="25"/>
        <v>5.7466944379999987</v>
      </c>
      <c r="P256" s="3">
        <f t="shared" si="26"/>
        <v>0.99681684574358331</v>
      </c>
      <c r="Q256" s="3">
        <f t="shared" si="27"/>
        <v>1</v>
      </c>
      <c r="R256" s="3">
        <f t="shared" si="28"/>
        <v>0</v>
      </c>
    </row>
    <row r="257" spans="1:18" x14ac:dyDescent="0.25">
      <c r="A257" s="3">
        <v>62</v>
      </c>
      <c r="B257" s="3">
        <v>0</v>
      </c>
      <c r="C257" s="3">
        <v>4</v>
      </c>
      <c r="D257" s="3">
        <v>124</v>
      </c>
      <c r="E257" s="3">
        <v>209</v>
      </c>
      <c r="F257" s="3">
        <v>0</v>
      </c>
      <c r="G257" s="3">
        <v>0</v>
      </c>
      <c r="H257" s="3">
        <v>163</v>
      </c>
      <c r="I257" s="3">
        <v>0</v>
      </c>
      <c r="J257" s="3">
        <v>0</v>
      </c>
      <c r="K257" s="3">
        <v>1</v>
      </c>
      <c r="L257" s="3">
        <v>0</v>
      </c>
      <c r="M257" s="3">
        <v>3</v>
      </c>
      <c r="N257">
        <v>0</v>
      </c>
      <c r="O257" s="3">
        <f t="shared" si="25"/>
        <v>-3.3959306310000015</v>
      </c>
      <c r="P257" s="3">
        <f t="shared" si="26"/>
        <v>3.2422884859669474E-2</v>
      </c>
      <c r="Q257" s="3">
        <f t="shared" si="27"/>
        <v>0</v>
      </c>
      <c r="R257" s="3">
        <f t="shared" si="28"/>
        <v>0</v>
      </c>
    </row>
    <row r="258" spans="1:18" x14ac:dyDescent="0.25">
      <c r="A258" s="3">
        <v>43</v>
      </c>
      <c r="B258" s="3">
        <v>0</v>
      </c>
      <c r="C258" s="3">
        <v>3</v>
      </c>
      <c r="D258" s="3">
        <v>122</v>
      </c>
      <c r="E258" s="3">
        <v>213</v>
      </c>
      <c r="F258" s="3">
        <v>0</v>
      </c>
      <c r="G258" s="3">
        <v>0</v>
      </c>
      <c r="H258" s="3">
        <v>165</v>
      </c>
      <c r="I258" s="3">
        <v>0</v>
      </c>
      <c r="J258" s="3">
        <v>0.2</v>
      </c>
      <c r="K258" s="3">
        <v>2</v>
      </c>
      <c r="L258" s="3">
        <v>0</v>
      </c>
      <c r="M258" s="3">
        <v>3</v>
      </c>
      <c r="N258">
        <v>0</v>
      </c>
      <c r="O258" s="3">
        <f t="shared" si="25"/>
        <v>-3.2083988970000012</v>
      </c>
      <c r="P258" s="3">
        <f t="shared" si="26"/>
        <v>3.8850877903230115E-2</v>
      </c>
      <c r="Q258" s="3">
        <f t="shared" si="27"/>
        <v>0</v>
      </c>
      <c r="R258" s="3">
        <f t="shared" si="28"/>
        <v>0</v>
      </c>
    </row>
    <row r="259" spans="1:18" x14ac:dyDescent="0.25">
      <c r="A259" s="3">
        <v>47</v>
      </c>
      <c r="B259" s="3">
        <v>1</v>
      </c>
      <c r="C259" s="3">
        <v>3</v>
      </c>
      <c r="D259" s="3">
        <v>108</v>
      </c>
      <c r="E259" s="3">
        <v>243</v>
      </c>
      <c r="F259" s="3">
        <v>0</v>
      </c>
      <c r="G259" s="3">
        <v>0</v>
      </c>
      <c r="H259" s="3">
        <v>152</v>
      </c>
      <c r="I259" s="3">
        <v>0</v>
      </c>
      <c r="J259" s="3">
        <v>0</v>
      </c>
      <c r="K259" s="3">
        <v>1</v>
      </c>
      <c r="L259" s="3">
        <v>0</v>
      </c>
      <c r="M259" s="3">
        <v>3</v>
      </c>
      <c r="N259">
        <v>1</v>
      </c>
      <c r="O259" s="3">
        <f t="shared" si="25"/>
        <v>-3.3308748740000009</v>
      </c>
      <c r="P259" s="3">
        <f t="shared" si="26"/>
        <v>3.4527054537182099E-2</v>
      </c>
      <c r="Q259" s="3">
        <f t="shared" si="27"/>
        <v>0</v>
      </c>
      <c r="R259" s="3">
        <f t="shared" si="28"/>
        <v>1</v>
      </c>
    </row>
    <row r="260" spans="1:18" x14ac:dyDescent="0.25">
      <c r="A260" s="3">
        <v>55</v>
      </c>
      <c r="B260" s="3">
        <v>1</v>
      </c>
      <c r="C260" s="3">
        <v>4</v>
      </c>
      <c r="D260" s="3">
        <v>160</v>
      </c>
      <c r="E260" s="3">
        <v>289</v>
      </c>
      <c r="F260" s="3">
        <v>0</v>
      </c>
      <c r="G260" s="3">
        <v>2</v>
      </c>
      <c r="H260" s="3">
        <v>145</v>
      </c>
      <c r="I260" s="3">
        <v>1</v>
      </c>
      <c r="J260" s="3">
        <v>0.8</v>
      </c>
      <c r="K260" s="3">
        <v>2</v>
      </c>
      <c r="L260" s="3">
        <v>1</v>
      </c>
      <c r="M260" s="3">
        <v>7</v>
      </c>
      <c r="N260">
        <v>1</v>
      </c>
      <c r="O260" s="3">
        <f t="shared" si="25"/>
        <v>4.1486607809999985</v>
      </c>
      <c r="P260" s="3">
        <f t="shared" si="26"/>
        <v>0.9844597683551255</v>
      </c>
      <c r="Q260" s="3">
        <f t="shared" si="27"/>
        <v>1</v>
      </c>
      <c r="R260" s="3">
        <f t="shared" si="28"/>
        <v>0</v>
      </c>
    </row>
    <row r="261" spans="1:18" x14ac:dyDescent="0.25">
      <c r="A261" s="3">
        <v>70</v>
      </c>
      <c r="B261" s="3">
        <v>1</v>
      </c>
      <c r="C261" s="3">
        <v>4</v>
      </c>
      <c r="D261" s="3">
        <v>130</v>
      </c>
      <c r="E261" s="3">
        <v>322</v>
      </c>
      <c r="F261" s="3">
        <v>0</v>
      </c>
      <c r="G261" s="3">
        <v>2</v>
      </c>
      <c r="H261" s="3">
        <v>109</v>
      </c>
      <c r="I261" s="3">
        <v>0</v>
      </c>
      <c r="J261" s="3">
        <v>2.4</v>
      </c>
      <c r="K261" s="3">
        <v>2</v>
      </c>
      <c r="L261" s="3">
        <v>3</v>
      </c>
      <c r="M261" s="3">
        <v>3</v>
      </c>
      <c r="N261">
        <v>1</v>
      </c>
      <c r="O261" s="3">
        <f t="shared" si="25"/>
        <v>5.1222057929999991</v>
      </c>
      <c r="P261" s="3">
        <f t="shared" si="26"/>
        <v>0.99407248933678372</v>
      </c>
      <c r="Q261" s="3">
        <f t="shared" si="27"/>
        <v>1</v>
      </c>
      <c r="R261" s="3">
        <f t="shared" si="28"/>
        <v>0</v>
      </c>
    </row>
    <row r="262" spans="1:18" x14ac:dyDescent="0.25">
      <c r="A262" s="3">
        <v>58</v>
      </c>
      <c r="B262" s="3">
        <v>1</v>
      </c>
      <c r="C262" s="3">
        <v>4</v>
      </c>
      <c r="D262" s="3">
        <v>125</v>
      </c>
      <c r="E262" s="3">
        <v>300</v>
      </c>
      <c r="F262" s="3">
        <v>0</v>
      </c>
      <c r="G262" s="3">
        <v>2</v>
      </c>
      <c r="H262" s="3">
        <v>171</v>
      </c>
      <c r="I262" s="3">
        <v>0</v>
      </c>
      <c r="J262" s="3">
        <v>0</v>
      </c>
      <c r="K262" s="3">
        <v>1</v>
      </c>
      <c r="L262" s="3">
        <v>2</v>
      </c>
      <c r="M262" s="3">
        <v>7</v>
      </c>
      <c r="N262">
        <v>1</v>
      </c>
      <c r="O262" s="3">
        <f t="shared" si="25"/>
        <v>2.1472897309999972</v>
      </c>
      <c r="P262" s="3">
        <f t="shared" si="26"/>
        <v>0.89541524076143919</v>
      </c>
      <c r="Q262" s="3">
        <f t="shared" si="27"/>
        <v>1</v>
      </c>
      <c r="R262" s="3">
        <f t="shared" si="28"/>
        <v>0</v>
      </c>
    </row>
    <row r="263" spans="1:18" x14ac:dyDescent="0.25">
      <c r="A263" s="3">
        <v>57</v>
      </c>
      <c r="B263" s="3">
        <v>1</v>
      </c>
      <c r="C263" s="3">
        <v>4</v>
      </c>
      <c r="D263" s="3">
        <v>152</v>
      </c>
      <c r="E263" s="3">
        <v>274</v>
      </c>
      <c r="F263" s="3">
        <v>0</v>
      </c>
      <c r="G263" s="3">
        <v>0</v>
      </c>
      <c r="H263" s="3">
        <v>88</v>
      </c>
      <c r="I263" s="3">
        <v>1</v>
      </c>
      <c r="J263" s="3">
        <v>1.2</v>
      </c>
      <c r="K263" s="3">
        <v>2</v>
      </c>
      <c r="L263" s="3">
        <v>1</v>
      </c>
      <c r="M263" s="3">
        <v>7</v>
      </c>
      <c r="N263">
        <v>1</v>
      </c>
      <c r="O263" s="3">
        <f t="shared" si="25"/>
        <v>4.6536394060000017</v>
      </c>
      <c r="P263" s="3">
        <f t="shared" si="26"/>
        <v>0.99056303805243662</v>
      </c>
      <c r="Q263" s="3">
        <f t="shared" si="27"/>
        <v>1</v>
      </c>
      <c r="R263" s="3">
        <f t="shared" si="28"/>
        <v>0</v>
      </c>
    </row>
    <row r="264" spans="1:18" x14ac:dyDescent="0.25">
      <c r="A264" s="3">
        <v>52</v>
      </c>
      <c r="B264" s="3">
        <v>1</v>
      </c>
      <c r="C264" s="3">
        <v>4</v>
      </c>
      <c r="D264" s="3">
        <v>108</v>
      </c>
      <c r="E264" s="3">
        <v>233</v>
      </c>
      <c r="F264" s="3">
        <v>1</v>
      </c>
      <c r="G264" s="3">
        <v>0</v>
      </c>
      <c r="H264" s="3">
        <v>147</v>
      </c>
      <c r="I264" s="3">
        <v>0</v>
      </c>
      <c r="J264" s="3">
        <v>0.1</v>
      </c>
      <c r="K264" s="3">
        <v>1</v>
      </c>
      <c r="L264" s="3">
        <v>3</v>
      </c>
      <c r="M264" s="3">
        <v>7</v>
      </c>
      <c r="N264">
        <v>0</v>
      </c>
      <c r="O264" s="3">
        <f t="shared" si="25"/>
        <v>2.4790118494999991</v>
      </c>
      <c r="P264" s="3">
        <f t="shared" si="26"/>
        <v>0.92265731210061686</v>
      </c>
      <c r="Q264" s="3">
        <f t="shared" si="27"/>
        <v>1</v>
      </c>
      <c r="R264" s="3">
        <f t="shared" si="28"/>
        <v>1</v>
      </c>
    </row>
    <row r="265" spans="1:18" x14ac:dyDescent="0.25">
      <c r="A265" s="3">
        <v>60</v>
      </c>
      <c r="B265" s="3">
        <v>0</v>
      </c>
      <c r="C265" s="3">
        <v>4</v>
      </c>
      <c r="D265" s="3">
        <v>158</v>
      </c>
      <c r="E265" s="3">
        <v>305</v>
      </c>
      <c r="F265" s="3">
        <v>0</v>
      </c>
      <c r="G265" s="3">
        <v>2</v>
      </c>
      <c r="H265" s="3">
        <v>161</v>
      </c>
      <c r="I265" s="3">
        <v>0</v>
      </c>
      <c r="J265" s="3">
        <v>0</v>
      </c>
      <c r="K265" s="3">
        <v>1</v>
      </c>
      <c r="L265" s="3">
        <v>0</v>
      </c>
      <c r="M265" s="3">
        <v>3</v>
      </c>
      <c r="N265">
        <v>1</v>
      </c>
      <c r="O265" s="3">
        <f t="shared" si="25"/>
        <v>-1.5656018670000016</v>
      </c>
      <c r="P265" s="3">
        <f t="shared" si="26"/>
        <v>0.17284428454601725</v>
      </c>
      <c r="Q265" s="3">
        <f t="shared" si="27"/>
        <v>0</v>
      </c>
      <c r="R265" s="3">
        <f t="shared" si="28"/>
        <v>1</v>
      </c>
    </row>
    <row r="266" spans="1:18" x14ac:dyDescent="0.25">
      <c r="A266" s="3">
        <v>63</v>
      </c>
      <c r="B266" s="3">
        <v>0</v>
      </c>
      <c r="C266" s="3">
        <v>2</v>
      </c>
      <c r="D266" s="3">
        <v>140</v>
      </c>
      <c r="E266" s="3">
        <v>195</v>
      </c>
      <c r="F266" s="3">
        <v>0</v>
      </c>
      <c r="G266" s="3">
        <v>0</v>
      </c>
      <c r="H266" s="3">
        <v>179</v>
      </c>
      <c r="I266" s="3">
        <v>0</v>
      </c>
      <c r="J266" s="3">
        <v>0</v>
      </c>
      <c r="K266" s="3">
        <v>1</v>
      </c>
      <c r="L266" s="3">
        <v>2</v>
      </c>
      <c r="M266" s="3">
        <v>3</v>
      </c>
      <c r="N266">
        <v>0</v>
      </c>
      <c r="O266" s="3">
        <f t="shared" si="25"/>
        <v>-2.1399452980000007</v>
      </c>
      <c r="P266" s="3">
        <f t="shared" si="26"/>
        <v>0.10527454189179655</v>
      </c>
      <c r="Q266" s="3">
        <f t="shared" si="27"/>
        <v>0</v>
      </c>
      <c r="R266" s="3">
        <f t="shared" si="28"/>
        <v>0</v>
      </c>
    </row>
    <row r="267" spans="1:18" x14ac:dyDescent="0.25">
      <c r="A267" s="3">
        <v>42</v>
      </c>
      <c r="B267" s="3">
        <v>1</v>
      </c>
      <c r="C267" s="3">
        <v>3</v>
      </c>
      <c r="D267" s="3">
        <v>120</v>
      </c>
      <c r="E267" s="3">
        <v>240</v>
      </c>
      <c r="F267" s="3">
        <v>1</v>
      </c>
      <c r="G267" s="3">
        <v>0</v>
      </c>
      <c r="H267" s="3">
        <v>194</v>
      </c>
      <c r="I267" s="3">
        <v>0</v>
      </c>
      <c r="J267" s="3">
        <v>0.8</v>
      </c>
      <c r="K267" s="3">
        <v>3</v>
      </c>
      <c r="L267" s="3">
        <v>0</v>
      </c>
      <c r="M267" s="3">
        <v>7</v>
      </c>
      <c r="N267">
        <v>0</v>
      </c>
      <c r="O267" s="3">
        <f t="shared" si="25"/>
        <v>-1.1848584350000015</v>
      </c>
      <c r="P267" s="3">
        <f t="shared" si="26"/>
        <v>0.23417976143539937</v>
      </c>
      <c r="Q267" s="3">
        <f t="shared" si="27"/>
        <v>0</v>
      </c>
      <c r="R267" s="3">
        <f t="shared" si="28"/>
        <v>0</v>
      </c>
    </row>
    <row r="268" spans="1:18" x14ac:dyDescent="0.25">
      <c r="A268" s="3">
        <v>66</v>
      </c>
      <c r="B268" s="3">
        <v>1</v>
      </c>
      <c r="C268" s="3">
        <v>2</v>
      </c>
      <c r="D268" s="3">
        <v>160</v>
      </c>
      <c r="E268" s="3">
        <v>246</v>
      </c>
      <c r="F268" s="3">
        <v>0</v>
      </c>
      <c r="G268" s="3">
        <v>0</v>
      </c>
      <c r="H268" s="3">
        <v>120</v>
      </c>
      <c r="I268" s="3">
        <v>1</v>
      </c>
      <c r="J268" s="3">
        <v>0</v>
      </c>
      <c r="K268" s="3">
        <v>2</v>
      </c>
      <c r="L268" s="3">
        <v>3</v>
      </c>
      <c r="M268" s="3">
        <v>6</v>
      </c>
      <c r="N268">
        <v>1</v>
      </c>
      <c r="O268" s="3">
        <f t="shared" si="25"/>
        <v>4.6259144019999976</v>
      </c>
      <c r="P268" s="3">
        <f t="shared" si="26"/>
        <v>0.99030031084214343</v>
      </c>
      <c r="Q268" s="3">
        <f t="shared" si="27"/>
        <v>1</v>
      </c>
      <c r="R268" s="3">
        <f t="shared" si="28"/>
        <v>0</v>
      </c>
    </row>
    <row r="269" spans="1:18" x14ac:dyDescent="0.25">
      <c r="A269" s="3">
        <v>54</v>
      </c>
      <c r="B269" s="3">
        <v>1</v>
      </c>
      <c r="C269" s="3">
        <v>2</v>
      </c>
      <c r="D269" s="3">
        <v>192</v>
      </c>
      <c r="E269" s="3">
        <v>283</v>
      </c>
      <c r="F269" s="3">
        <v>0</v>
      </c>
      <c r="G269" s="3">
        <v>2</v>
      </c>
      <c r="H269" s="3">
        <v>195</v>
      </c>
      <c r="I269" s="3">
        <v>0</v>
      </c>
      <c r="J269" s="3">
        <v>0</v>
      </c>
      <c r="K269" s="3">
        <v>1</v>
      </c>
      <c r="L269" s="3">
        <v>1</v>
      </c>
      <c r="M269" s="3">
        <v>7</v>
      </c>
      <c r="N269">
        <v>1</v>
      </c>
      <c r="O269" s="3">
        <f t="shared" si="25"/>
        <v>0.64492602699999857</v>
      </c>
      <c r="P269" s="3">
        <f t="shared" si="26"/>
        <v>0.65586614526926623</v>
      </c>
      <c r="Q269" s="3">
        <f t="shared" si="27"/>
        <v>1</v>
      </c>
      <c r="R269" s="3">
        <f t="shared" si="28"/>
        <v>0</v>
      </c>
    </row>
    <row r="270" spans="1:18" x14ac:dyDescent="0.25">
      <c r="A270" s="3">
        <v>51</v>
      </c>
      <c r="B270" s="3">
        <v>1</v>
      </c>
      <c r="C270" s="3">
        <v>4</v>
      </c>
      <c r="D270" s="3">
        <v>140</v>
      </c>
      <c r="E270" s="3">
        <v>298</v>
      </c>
      <c r="F270" s="3">
        <v>0</v>
      </c>
      <c r="G270" s="3">
        <v>0</v>
      </c>
      <c r="H270" s="3">
        <v>122</v>
      </c>
      <c r="I270" s="3">
        <v>1</v>
      </c>
      <c r="J270" s="3">
        <v>4.2</v>
      </c>
      <c r="K270" s="3">
        <v>2</v>
      </c>
      <c r="L270" s="3">
        <v>3</v>
      </c>
      <c r="M270" s="3">
        <v>7</v>
      </c>
      <c r="N270">
        <v>1</v>
      </c>
      <c r="O270" s="3">
        <f t="shared" si="25"/>
        <v>7.1860592029999992</v>
      </c>
      <c r="P270" s="3">
        <f t="shared" si="26"/>
        <v>0.99924350602060374</v>
      </c>
      <c r="Q270" s="3">
        <f t="shared" si="27"/>
        <v>1</v>
      </c>
      <c r="R270" s="3">
        <f t="shared" si="28"/>
        <v>0</v>
      </c>
    </row>
    <row r="271" spans="1:18" x14ac:dyDescent="0.25">
      <c r="A271" s="3">
        <v>62</v>
      </c>
      <c r="B271" s="3">
        <v>0</v>
      </c>
      <c r="C271" s="3">
        <v>4</v>
      </c>
      <c r="D271" s="3">
        <v>138</v>
      </c>
      <c r="E271" s="3">
        <v>294</v>
      </c>
      <c r="F271" s="3">
        <v>1</v>
      </c>
      <c r="G271" s="3">
        <v>0</v>
      </c>
      <c r="H271" s="3">
        <v>106</v>
      </c>
      <c r="I271" s="3">
        <v>0</v>
      </c>
      <c r="J271" s="3">
        <v>1.9</v>
      </c>
      <c r="K271" s="3">
        <v>2</v>
      </c>
      <c r="L271" s="3">
        <v>3</v>
      </c>
      <c r="M271" s="3">
        <v>3</v>
      </c>
      <c r="N271">
        <v>1</v>
      </c>
      <c r="O271" s="3">
        <f t="shared" si="25"/>
        <v>3.4510498834999996</v>
      </c>
      <c r="P271" s="3">
        <f t="shared" si="26"/>
        <v>0.96926243499239528</v>
      </c>
      <c r="Q271" s="3">
        <f t="shared" si="27"/>
        <v>1</v>
      </c>
      <c r="R271" s="3">
        <f t="shared" si="28"/>
        <v>0</v>
      </c>
    </row>
    <row r="272" spans="1:18" x14ac:dyDescent="0.25">
      <c r="A272" s="3">
        <v>68</v>
      </c>
      <c r="B272" s="3">
        <v>0</v>
      </c>
      <c r="C272" s="3">
        <v>3</v>
      </c>
      <c r="D272" s="3">
        <v>120</v>
      </c>
      <c r="E272" s="3">
        <v>211</v>
      </c>
      <c r="F272" s="3">
        <v>0</v>
      </c>
      <c r="G272" s="3">
        <v>2</v>
      </c>
      <c r="H272" s="3">
        <v>115</v>
      </c>
      <c r="I272" s="3">
        <v>0</v>
      </c>
      <c r="J272" s="3">
        <v>1.5</v>
      </c>
      <c r="K272" s="3">
        <v>2</v>
      </c>
      <c r="L272" s="3">
        <v>0</v>
      </c>
      <c r="M272" s="3">
        <v>3</v>
      </c>
      <c r="N272">
        <v>0</v>
      </c>
      <c r="O272" s="3">
        <f t="shared" si="25"/>
        <v>-1.7288627465000017</v>
      </c>
      <c r="P272" s="3">
        <f t="shared" si="26"/>
        <v>0.15073310474509966</v>
      </c>
      <c r="Q272" s="3">
        <f t="shared" si="27"/>
        <v>0</v>
      </c>
      <c r="R272" s="3">
        <f t="shared" si="28"/>
        <v>0</v>
      </c>
    </row>
    <row r="273" spans="1:18" x14ac:dyDescent="0.25">
      <c r="A273" s="3">
        <v>50</v>
      </c>
      <c r="B273" s="3">
        <v>0</v>
      </c>
      <c r="C273" s="3">
        <v>4</v>
      </c>
      <c r="D273" s="3">
        <v>110</v>
      </c>
      <c r="E273" s="3">
        <v>254</v>
      </c>
      <c r="F273" s="3">
        <v>0</v>
      </c>
      <c r="G273" s="3">
        <v>2</v>
      </c>
      <c r="H273" s="3">
        <v>159</v>
      </c>
      <c r="I273" s="3">
        <v>0</v>
      </c>
      <c r="J273" s="3">
        <v>0</v>
      </c>
      <c r="K273" s="3">
        <v>1</v>
      </c>
      <c r="L273" s="3">
        <v>0</v>
      </c>
      <c r="M273" s="3">
        <v>3</v>
      </c>
      <c r="N273">
        <v>0</v>
      </c>
      <c r="O273" s="3">
        <f t="shared" si="25"/>
        <v>-3.0217145880000009</v>
      </c>
      <c r="P273" s="3">
        <f t="shared" si="26"/>
        <v>4.6454465267184643E-2</v>
      </c>
      <c r="Q273" s="3">
        <f t="shared" si="27"/>
        <v>0</v>
      </c>
      <c r="R273" s="3">
        <f t="shared" si="28"/>
        <v>0</v>
      </c>
    </row>
    <row r="274" spans="1:18" x14ac:dyDescent="0.25">
      <c r="A274" s="3">
        <v>43</v>
      </c>
      <c r="B274" s="3">
        <v>1</v>
      </c>
      <c r="C274" s="3">
        <v>4</v>
      </c>
      <c r="D274" s="3">
        <v>110</v>
      </c>
      <c r="E274" s="3">
        <v>211</v>
      </c>
      <c r="F274" s="3">
        <v>0</v>
      </c>
      <c r="G274" s="3">
        <v>0</v>
      </c>
      <c r="H274" s="3">
        <v>161</v>
      </c>
      <c r="I274" s="3">
        <v>0</v>
      </c>
      <c r="J274" s="3">
        <v>0</v>
      </c>
      <c r="K274" s="3">
        <v>1</v>
      </c>
      <c r="L274" s="3">
        <v>0</v>
      </c>
      <c r="M274" s="3">
        <v>7</v>
      </c>
      <c r="N274">
        <v>0</v>
      </c>
      <c r="O274" s="3">
        <f t="shared" si="25"/>
        <v>-1.4464088569999998</v>
      </c>
      <c r="P274" s="3">
        <f t="shared" si="26"/>
        <v>0.19055486177091235</v>
      </c>
      <c r="Q274" s="3">
        <f t="shared" si="27"/>
        <v>0</v>
      </c>
      <c r="R274" s="3">
        <f t="shared" si="28"/>
        <v>0</v>
      </c>
    </row>
    <row r="275" spans="1:18" x14ac:dyDescent="0.25">
      <c r="A275" s="3">
        <v>58</v>
      </c>
      <c r="B275" s="3">
        <v>1</v>
      </c>
      <c r="C275" s="3">
        <v>4</v>
      </c>
      <c r="D275" s="3">
        <v>128</v>
      </c>
      <c r="E275" s="3">
        <v>259</v>
      </c>
      <c r="F275" s="3">
        <v>0</v>
      </c>
      <c r="G275" s="3">
        <v>2</v>
      </c>
      <c r="H275" s="3">
        <v>130</v>
      </c>
      <c r="I275" s="3">
        <v>1</v>
      </c>
      <c r="J275" s="3">
        <v>3</v>
      </c>
      <c r="K275" s="3">
        <v>2</v>
      </c>
      <c r="L275" s="3">
        <v>2</v>
      </c>
      <c r="M275" s="3">
        <v>7</v>
      </c>
      <c r="N275">
        <v>1</v>
      </c>
      <c r="O275" s="3">
        <f t="shared" si="25"/>
        <v>5.2727187019999988</v>
      </c>
      <c r="P275" s="3">
        <f t="shared" si="26"/>
        <v>0.99489653335477424</v>
      </c>
      <c r="Q275" s="3">
        <f t="shared" si="27"/>
        <v>1</v>
      </c>
      <c r="R275" s="3">
        <f t="shared" si="28"/>
        <v>0</v>
      </c>
    </row>
    <row r="276" spans="1:18" x14ac:dyDescent="0.25">
      <c r="A276" s="3">
        <v>50</v>
      </c>
      <c r="B276" s="3">
        <v>1</v>
      </c>
      <c r="C276" s="3">
        <v>4</v>
      </c>
      <c r="D276" s="3">
        <v>144</v>
      </c>
      <c r="E276" s="3">
        <v>200</v>
      </c>
      <c r="F276" s="3">
        <v>0</v>
      </c>
      <c r="G276" s="3">
        <v>2</v>
      </c>
      <c r="H276" s="3">
        <v>126</v>
      </c>
      <c r="I276" s="3">
        <v>1</v>
      </c>
      <c r="J276" s="3">
        <v>0.9</v>
      </c>
      <c r="K276" s="3">
        <v>2</v>
      </c>
      <c r="L276" s="3">
        <v>0</v>
      </c>
      <c r="M276" s="3">
        <v>7</v>
      </c>
      <c r="N276">
        <v>1</v>
      </c>
      <c r="O276" s="3">
        <f t="shared" si="25"/>
        <v>2.5079250255000005</v>
      </c>
      <c r="P276" s="3">
        <f t="shared" si="26"/>
        <v>0.92469552961855139</v>
      </c>
      <c r="Q276" s="3">
        <f t="shared" si="27"/>
        <v>1</v>
      </c>
      <c r="R276" s="3">
        <f t="shared" si="28"/>
        <v>0</v>
      </c>
    </row>
    <row r="277" spans="1:18" x14ac:dyDescent="0.25">
      <c r="A277" s="3">
        <v>62</v>
      </c>
      <c r="B277" s="3">
        <v>0</v>
      </c>
      <c r="C277" s="3">
        <v>4</v>
      </c>
      <c r="D277" s="3">
        <v>150</v>
      </c>
      <c r="E277" s="3">
        <v>244</v>
      </c>
      <c r="F277" s="3">
        <v>0</v>
      </c>
      <c r="G277" s="3">
        <v>0</v>
      </c>
      <c r="H277" s="3">
        <v>154</v>
      </c>
      <c r="I277" s="3">
        <v>1</v>
      </c>
      <c r="J277" s="3">
        <v>1.4</v>
      </c>
      <c r="K277" s="3">
        <v>2</v>
      </c>
      <c r="L277" s="3">
        <v>0</v>
      </c>
      <c r="M277" s="3">
        <v>3</v>
      </c>
      <c r="N277">
        <v>1</v>
      </c>
      <c r="O277" s="3">
        <f t="shared" si="25"/>
        <v>-0.4091708580000013</v>
      </c>
      <c r="P277" s="3">
        <f t="shared" si="26"/>
        <v>0.39911095050287876</v>
      </c>
      <c r="Q277" s="3">
        <f t="shared" si="27"/>
        <v>0</v>
      </c>
      <c r="R277" s="3">
        <f t="shared" si="28"/>
        <v>1</v>
      </c>
    </row>
    <row r="278" spans="1:18" x14ac:dyDescent="0.25">
      <c r="A278" s="3">
        <v>38</v>
      </c>
      <c r="B278" s="3">
        <v>1</v>
      </c>
      <c r="C278" s="3">
        <v>1</v>
      </c>
      <c r="D278" s="3">
        <v>120</v>
      </c>
      <c r="E278" s="3">
        <v>231</v>
      </c>
      <c r="F278" s="3">
        <v>0</v>
      </c>
      <c r="G278" s="3">
        <v>0</v>
      </c>
      <c r="H278" s="3">
        <v>182</v>
      </c>
      <c r="I278" s="3">
        <v>1</v>
      </c>
      <c r="J278" s="3">
        <v>3.8</v>
      </c>
      <c r="K278" s="3">
        <v>2</v>
      </c>
      <c r="L278" s="3">
        <v>0</v>
      </c>
      <c r="M278" s="3">
        <v>7</v>
      </c>
      <c r="N278">
        <v>1</v>
      </c>
      <c r="O278" s="3">
        <f t="shared" si="25"/>
        <v>-1.5216579230000002</v>
      </c>
      <c r="P278" s="3">
        <f t="shared" si="26"/>
        <v>0.17921751154778065</v>
      </c>
      <c r="Q278" s="3">
        <f t="shared" si="27"/>
        <v>0</v>
      </c>
      <c r="R278" s="3">
        <f t="shared" si="28"/>
        <v>1</v>
      </c>
    </row>
    <row r="279" spans="1:18" x14ac:dyDescent="0.25">
      <c r="A279" s="3">
        <v>46</v>
      </c>
      <c r="B279" s="3">
        <v>0</v>
      </c>
      <c r="C279" s="3">
        <v>4</v>
      </c>
      <c r="D279" s="3">
        <v>138</v>
      </c>
      <c r="E279" s="3">
        <v>243</v>
      </c>
      <c r="F279" s="3">
        <v>0</v>
      </c>
      <c r="G279" s="3">
        <v>2</v>
      </c>
      <c r="H279" s="3">
        <v>152</v>
      </c>
      <c r="I279" s="3">
        <v>1</v>
      </c>
      <c r="J279" s="3">
        <v>0</v>
      </c>
      <c r="K279" s="3">
        <v>2</v>
      </c>
      <c r="L279" s="3">
        <v>0</v>
      </c>
      <c r="M279" s="3">
        <v>3</v>
      </c>
      <c r="N279">
        <v>0</v>
      </c>
      <c r="O279" s="3">
        <f t="shared" si="25"/>
        <v>-0.40194661400000165</v>
      </c>
      <c r="P279" s="3">
        <f t="shared" si="26"/>
        <v>0.40084473493397726</v>
      </c>
      <c r="Q279" s="3">
        <f t="shared" si="27"/>
        <v>0</v>
      </c>
      <c r="R279" s="3">
        <f t="shared" si="28"/>
        <v>0</v>
      </c>
    </row>
    <row r="280" spans="1:18" x14ac:dyDescent="0.25">
      <c r="A280" s="3">
        <v>64</v>
      </c>
      <c r="B280" s="3">
        <v>0</v>
      </c>
      <c r="C280" s="3">
        <v>4</v>
      </c>
      <c r="D280" s="3">
        <v>130</v>
      </c>
      <c r="E280" s="3">
        <v>303</v>
      </c>
      <c r="F280" s="3">
        <v>0</v>
      </c>
      <c r="G280" s="3">
        <v>0</v>
      </c>
      <c r="H280" s="3">
        <v>122</v>
      </c>
      <c r="I280" s="3">
        <v>0</v>
      </c>
      <c r="J280" s="3">
        <v>2</v>
      </c>
      <c r="K280" s="3">
        <v>2</v>
      </c>
      <c r="L280" s="3">
        <v>2</v>
      </c>
      <c r="M280" s="3">
        <v>3</v>
      </c>
      <c r="N280">
        <v>0</v>
      </c>
      <c r="O280" s="3">
        <f t="shared" si="25"/>
        <v>1.9836559499999975</v>
      </c>
      <c r="P280" s="3">
        <f t="shared" si="26"/>
        <v>0.87907034924994421</v>
      </c>
      <c r="Q280" s="3">
        <f t="shared" si="27"/>
        <v>1</v>
      </c>
      <c r="R280" s="3">
        <f t="shared" si="28"/>
        <v>1</v>
      </c>
    </row>
    <row r="281" spans="1:18" x14ac:dyDescent="0.25">
      <c r="A281" s="3">
        <v>41</v>
      </c>
      <c r="B281" s="3">
        <v>0</v>
      </c>
      <c r="C281" s="3">
        <v>3</v>
      </c>
      <c r="D281" s="3">
        <v>112</v>
      </c>
      <c r="E281" s="3">
        <v>268</v>
      </c>
      <c r="F281" s="3">
        <v>0</v>
      </c>
      <c r="G281" s="3">
        <v>2</v>
      </c>
      <c r="H281" s="3">
        <v>172</v>
      </c>
      <c r="I281" s="3">
        <v>1</v>
      </c>
      <c r="J281" s="3">
        <v>0</v>
      </c>
      <c r="K281" s="3">
        <v>1</v>
      </c>
      <c r="L281" s="3">
        <v>0</v>
      </c>
      <c r="M281" s="3">
        <v>3</v>
      </c>
      <c r="N281">
        <v>0</v>
      </c>
      <c r="O281" s="3">
        <f t="shared" si="25"/>
        <v>-3.2004473860000013</v>
      </c>
      <c r="P281" s="3">
        <f t="shared" si="26"/>
        <v>3.914889034082053E-2</v>
      </c>
      <c r="Q281" s="3">
        <f t="shared" si="27"/>
        <v>0</v>
      </c>
      <c r="R281" s="3">
        <f t="shared" si="28"/>
        <v>0</v>
      </c>
    </row>
    <row r="282" spans="1:18" x14ac:dyDescent="0.25">
      <c r="A282" s="3">
        <v>53</v>
      </c>
      <c r="B282" s="3">
        <v>1</v>
      </c>
      <c r="C282" s="3">
        <v>4</v>
      </c>
      <c r="D282" s="3">
        <v>123</v>
      </c>
      <c r="E282" s="3">
        <v>282</v>
      </c>
      <c r="F282" s="3">
        <v>0</v>
      </c>
      <c r="G282" s="3">
        <v>0</v>
      </c>
      <c r="H282" s="3">
        <v>95</v>
      </c>
      <c r="I282" s="3">
        <v>1</v>
      </c>
      <c r="J282" s="3">
        <v>2</v>
      </c>
      <c r="K282" s="3">
        <v>2</v>
      </c>
      <c r="L282" s="3">
        <v>2</v>
      </c>
      <c r="M282" s="3">
        <v>7</v>
      </c>
      <c r="N282">
        <v>1</v>
      </c>
      <c r="O282" s="3">
        <f t="shared" si="25"/>
        <v>5.2610629329999981</v>
      </c>
      <c r="P282" s="3">
        <f t="shared" si="26"/>
        <v>0.994837009421351</v>
      </c>
      <c r="Q282" s="3">
        <f t="shared" si="27"/>
        <v>1</v>
      </c>
      <c r="R282" s="3">
        <f t="shared" si="28"/>
        <v>0</v>
      </c>
    </row>
    <row r="283" spans="1:18" x14ac:dyDescent="0.25">
      <c r="A283" s="3">
        <v>46</v>
      </c>
      <c r="B283" s="3">
        <v>1</v>
      </c>
      <c r="C283" s="3">
        <v>4</v>
      </c>
      <c r="D283" s="3">
        <v>120</v>
      </c>
      <c r="E283" s="3">
        <v>249</v>
      </c>
      <c r="F283" s="3">
        <v>0</v>
      </c>
      <c r="G283" s="3">
        <v>2</v>
      </c>
      <c r="H283" s="3">
        <v>144</v>
      </c>
      <c r="I283" s="3">
        <v>0</v>
      </c>
      <c r="J283" s="3">
        <v>0.8</v>
      </c>
      <c r="K283" s="3">
        <v>1</v>
      </c>
      <c r="L283" s="3">
        <v>0</v>
      </c>
      <c r="M283" s="3">
        <v>7</v>
      </c>
      <c r="N283">
        <v>1</v>
      </c>
      <c r="O283" s="3">
        <f t="shared" si="25"/>
        <v>-5.9412862000000288E-2</v>
      </c>
      <c r="P283" s="3">
        <f t="shared" si="26"/>
        <v>0.48515115214075272</v>
      </c>
      <c r="Q283" s="3">
        <f t="shared" si="27"/>
        <v>0</v>
      </c>
      <c r="R283" s="3">
        <f t="shared" si="28"/>
        <v>1</v>
      </c>
    </row>
    <row r="284" spans="1:18" x14ac:dyDescent="0.25">
      <c r="A284" s="3">
        <v>49</v>
      </c>
      <c r="B284" s="3">
        <v>0</v>
      </c>
      <c r="C284" s="3">
        <v>2</v>
      </c>
      <c r="D284" s="3">
        <v>134</v>
      </c>
      <c r="E284" s="3">
        <v>271</v>
      </c>
      <c r="F284" s="3">
        <v>0</v>
      </c>
      <c r="G284" s="3">
        <v>0</v>
      </c>
      <c r="H284" s="3">
        <v>162</v>
      </c>
      <c r="I284" s="3">
        <v>0</v>
      </c>
      <c r="J284" s="3">
        <v>0</v>
      </c>
      <c r="K284" s="3">
        <v>2</v>
      </c>
      <c r="L284" s="3">
        <v>0</v>
      </c>
      <c r="M284" s="3">
        <v>3</v>
      </c>
      <c r="N284">
        <v>0</v>
      </c>
      <c r="O284" s="3">
        <f t="shared" si="25"/>
        <v>-3.5776325050000013</v>
      </c>
      <c r="P284" s="3">
        <f t="shared" si="26"/>
        <v>2.718225173444817E-2</v>
      </c>
      <c r="Q284" s="3">
        <f t="shared" si="27"/>
        <v>0</v>
      </c>
      <c r="R284" s="3">
        <f t="shared" si="28"/>
        <v>0</v>
      </c>
    </row>
    <row r="285" spans="1:18" x14ac:dyDescent="0.25">
      <c r="A285" s="3">
        <v>49</v>
      </c>
      <c r="B285" s="3">
        <v>0</v>
      </c>
      <c r="C285" s="3">
        <v>4</v>
      </c>
      <c r="D285" s="3">
        <v>130</v>
      </c>
      <c r="E285" s="3">
        <v>269</v>
      </c>
      <c r="F285" s="3">
        <v>0</v>
      </c>
      <c r="G285" s="3">
        <v>0</v>
      </c>
      <c r="H285" s="3">
        <v>163</v>
      </c>
      <c r="I285" s="3">
        <v>0</v>
      </c>
      <c r="J285" s="3">
        <v>0</v>
      </c>
      <c r="K285" s="3">
        <v>1</v>
      </c>
      <c r="L285" s="3">
        <v>0</v>
      </c>
      <c r="M285" s="3">
        <v>3</v>
      </c>
      <c r="N285">
        <v>0</v>
      </c>
      <c r="O285" s="3">
        <f t="shared" si="25"/>
        <v>-2.9175566380000006</v>
      </c>
      <c r="P285" s="3">
        <f t="shared" si="26"/>
        <v>5.1292468431506755E-2</v>
      </c>
      <c r="Q285" s="3">
        <f t="shared" si="27"/>
        <v>0</v>
      </c>
      <c r="R285" s="3">
        <f t="shared" si="28"/>
        <v>0</v>
      </c>
    </row>
    <row r="286" spans="1:18" x14ac:dyDescent="0.25">
      <c r="A286" s="3">
        <v>60</v>
      </c>
      <c r="B286" s="3">
        <v>0</v>
      </c>
      <c r="C286" s="3">
        <v>3</v>
      </c>
      <c r="D286" s="3">
        <v>120</v>
      </c>
      <c r="E286" s="3">
        <v>178</v>
      </c>
      <c r="F286" s="3">
        <v>1</v>
      </c>
      <c r="G286" s="3">
        <v>0</v>
      </c>
      <c r="H286" s="3">
        <v>96</v>
      </c>
      <c r="I286" s="3">
        <v>0</v>
      </c>
      <c r="J286" s="3">
        <v>0</v>
      </c>
      <c r="K286" s="3">
        <v>1</v>
      </c>
      <c r="L286" s="3">
        <v>0</v>
      </c>
      <c r="M286" s="3">
        <v>3</v>
      </c>
      <c r="N286">
        <v>0</v>
      </c>
      <c r="O286" s="3">
        <f t="shared" si="25"/>
        <v>-3.4971283580000012</v>
      </c>
      <c r="P286" s="3">
        <f t="shared" si="26"/>
        <v>2.9394048181797243E-2</v>
      </c>
      <c r="Q286" s="3">
        <f t="shared" si="27"/>
        <v>0</v>
      </c>
      <c r="R286" s="3">
        <f t="shared" si="28"/>
        <v>0</v>
      </c>
    </row>
    <row r="287" spans="1:18" x14ac:dyDescent="0.25">
      <c r="A287" s="3">
        <v>58</v>
      </c>
      <c r="B287" s="3">
        <v>1</v>
      </c>
      <c r="C287" s="3">
        <v>4</v>
      </c>
      <c r="D287" s="3">
        <v>100</v>
      </c>
      <c r="E287" s="3">
        <v>234</v>
      </c>
      <c r="F287" s="3">
        <v>0</v>
      </c>
      <c r="G287" s="3">
        <v>0</v>
      </c>
      <c r="H287" s="3">
        <v>156</v>
      </c>
      <c r="I287" s="3">
        <v>0</v>
      </c>
      <c r="J287" s="3">
        <v>0.1</v>
      </c>
      <c r="K287" s="3">
        <v>1</v>
      </c>
      <c r="L287" s="3">
        <v>1</v>
      </c>
      <c r="M287" s="3">
        <v>7</v>
      </c>
      <c r="N287">
        <v>1</v>
      </c>
      <c r="O287" s="3">
        <f t="shared" si="25"/>
        <v>-0.33350844250000122</v>
      </c>
      <c r="P287" s="3">
        <f t="shared" si="26"/>
        <v>0.41738721072792839</v>
      </c>
      <c r="Q287" s="3">
        <f t="shared" si="27"/>
        <v>0</v>
      </c>
      <c r="R287" s="3">
        <f t="shared" si="28"/>
        <v>1</v>
      </c>
    </row>
    <row r="288" spans="1:18" x14ac:dyDescent="0.25">
      <c r="A288" s="3">
        <v>47</v>
      </c>
      <c r="B288" s="3">
        <v>1</v>
      </c>
      <c r="C288" s="3">
        <v>4</v>
      </c>
      <c r="D288" s="3">
        <v>110</v>
      </c>
      <c r="E288" s="3">
        <v>275</v>
      </c>
      <c r="F288" s="3">
        <v>0</v>
      </c>
      <c r="G288" s="3">
        <v>2</v>
      </c>
      <c r="H288" s="3">
        <v>118</v>
      </c>
      <c r="I288" s="3">
        <v>1</v>
      </c>
      <c r="J288" s="3">
        <v>1</v>
      </c>
      <c r="K288" s="3">
        <v>2</v>
      </c>
      <c r="L288" s="3">
        <v>1</v>
      </c>
      <c r="M288" s="3">
        <v>3</v>
      </c>
      <c r="N288">
        <v>1</v>
      </c>
      <c r="O288" s="3">
        <f t="shared" si="25"/>
        <v>2.0583568480000007</v>
      </c>
      <c r="P288" s="3">
        <f t="shared" si="26"/>
        <v>0.88678931209302969</v>
      </c>
      <c r="Q288" s="3">
        <f t="shared" si="27"/>
        <v>1</v>
      </c>
      <c r="R288" s="3">
        <f t="shared" si="28"/>
        <v>0</v>
      </c>
    </row>
    <row r="289" spans="1:18" x14ac:dyDescent="0.25">
      <c r="A289" s="3">
        <v>62</v>
      </c>
      <c r="B289" s="3">
        <v>1</v>
      </c>
      <c r="C289" s="3">
        <v>2</v>
      </c>
      <c r="D289" s="3">
        <v>128</v>
      </c>
      <c r="E289" s="3">
        <v>208</v>
      </c>
      <c r="F289" s="3">
        <v>1</v>
      </c>
      <c r="G289" s="3">
        <v>2</v>
      </c>
      <c r="H289" s="3">
        <v>140</v>
      </c>
      <c r="I289" s="3">
        <v>0</v>
      </c>
      <c r="J289" s="3">
        <v>0</v>
      </c>
      <c r="K289" s="3">
        <v>1</v>
      </c>
      <c r="L289" s="3">
        <v>0</v>
      </c>
      <c r="M289" s="3">
        <v>3</v>
      </c>
      <c r="N289">
        <v>0</v>
      </c>
      <c r="O289" s="3">
        <f t="shared" ref="O289:O306" si="29">SUMPRODUCT(A$4:M$4, A289:M289)+N$4</f>
        <v>-3.5682166780000006</v>
      </c>
      <c r="P289" s="3">
        <f t="shared" ref="P289:P306" si="30">1/(1+EXP(0-O289))</f>
        <v>2.7432349577236271E-2</v>
      </c>
      <c r="Q289" s="3">
        <f t="shared" ref="Q289:Q306" si="31">IF(P289&lt;0.5,0,1)</f>
        <v>0</v>
      </c>
      <c r="R289" s="3">
        <f t="shared" ref="R289:R306" si="32">IF(N289=Q289,0,1)</f>
        <v>0</v>
      </c>
    </row>
    <row r="290" spans="1:18" x14ac:dyDescent="0.25">
      <c r="A290" s="3">
        <v>58</v>
      </c>
      <c r="B290" s="3">
        <v>1</v>
      </c>
      <c r="C290" s="3">
        <v>4</v>
      </c>
      <c r="D290" s="3">
        <v>146</v>
      </c>
      <c r="E290" s="3">
        <v>218</v>
      </c>
      <c r="F290" s="3">
        <v>0</v>
      </c>
      <c r="G290" s="3">
        <v>0</v>
      </c>
      <c r="H290" s="3">
        <v>105</v>
      </c>
      <c r="I290" s="3">
        <v>0</v>
      </c>
      <c r="J290" s="3">
        <v>2</v>
      </c>
      <c r="K290" s="3">
        <v>2</v>
      </c>
      <c r="L290" s="3">
        <v>1</v>
      </c>
      <c r="M290" s="3">
        <v>7</v>
      </c>
      <c r="N290">
        <v>1</v>
      </c>
      <c r="O290" s="3">
        <f t="shared" si="29"/>
        <v>3.4119964190000012</v>
      </c>
      <c r="P290" s="3">
        <f t="shared" si="30"/>
        <v>0.96807735670845241</v>
      </c>
      <c r="Q290" s="3">
        <f t="shared" si="31"/>
        <v>1</v>
      </c>
      <c r="R290" s="3">
        <f t="shared" si="32"/>
        <v>0</v>
      </c>
    </row>
    <row r="291" spans="1:18" x14ac:dyDescent="0.25">
      <c r="A291" s="3">
        <v>51</v>
      </c>
      <c r="B291" s="3">
        <v>0</v>
      </c>
      <c r="C291" s="3">
        <v>3</v>
      </c>
      <c r="D291" s="3">
        <v>120</v>
      </c>
      <c r="E291" s="3">
        <v>295</v>
      </c>
      <c r="F291" s="3">
        <v>0</v>
      </c>
      <c r="G291" s="3">
        <v>2</v>
      </c>
      <c r="H291" s="3">
        <v>157</v>
      </c>
      <c r="I291" s="3">
        <v>0</v>
      </c>
      <c r="J291" s="3">
        <v>0.6</v>
      </c>
      <c r="K291" s="3">
        <v>1</v>
      </c>
      <c r="L291" s="3">
        <v>0</v>
      </c>
      <c r="M291" s="3">
        <v>3</v>
      </c>
      <c r="N291">
        <v>0</v>
      </c>
      <c r="O291" s="3">
        <f t="shared" si="29"/>
        <v>-3.2778894740000011</v>
      </c>
      <c r="P291" s="3">
        <f t="shared" si="30"/>
        <v>3.6337548662942878E-2</v>
      </c>
      <c r="Q291" s="3">
        <f t="shared" si="31"/>
        <v>0</v>
      </c>
      <c r="R291" s="3">
        <f t="shared" si="32"/>
        <v>0</v>
      </c>
    </row>
    <row r="292" spans="1:18" x14ac:dyDescent="0.25">
      <c r="A292" s="3">
        <v>67</v>
      </c>
      <c r="B292" s="3">
        <v>0</v>
      </c>
      <c r="C292" s="3">
        <v>4</v>
      </c>
      <c r="D292" s="3">
        <v>106</v>
      </c>
      <c r="E292" s="3">
        <v>223</v>
      </c>
      <c r="F292" s="3">
        <v>0</v>
      </c>
      <c r="G292" s="3">
        <v>0</v>
      </c>
      <c r="H292" s="3">
        <v>142</v>
      </c>
      <c r="I292" s="3">
        <v>0</v>
      </c>
      <c r="J292" s="3">
        <v>0.3</v>
      </c>
      <c r="K292" s="3">
        <v>1</v>
      </c>
      <c r="L292" s="3">
        <v>2</v>
      </c>
      <c r="M292" s="3">
        <v>3</v>
      </c>
      <c r="N292">
        <v>0</v>
      </c>
      <c r="O292" s="3">
        <f t="shared" si="29"/>
        <v>-0.65356009750000155</v>
      </c>
      <c r="P292" s="3">
        <f t="shared" si="30"/>
        <v>0.34218772652817975</v>
      </c>
      <c r="Q292" s="3">
        <f t="shared" si="31"/>
        <v>0</v>
      </c>
      <c r="R292" s="3">
        <f t="shared" si="32"/>
        <v>0</v>
      </c>
    </row>
    <row r="293" spans="1:18" x14ac:dyDescent="0.25">
      <c r="A293" s="3">
        <v>70</v>
      </c>
      <c r="B293" s="3">
        <v>1</v>
      </c>
      <c r="C293" s="3">
        <v>2</v>
      </c>
      <c r="D293" s="3">
        <v>156</v>
      </c>
      <c r="E293" s="3">
        <v>245</v>
      </c>
      <c r="F293" s="3">
        <v>0</v>
      </c>
      <c r="G293" s="3">
        <v>2</v>
      </c>
      <c r="H293" s="3">
        <v>143</v>
      </c>
      <c r="I293" s="3">
        <v>0</v>
      </c>
      <c r="J293" s="3">
        <v>0</v>
      </c>
      <c r="K293" s="3">
        <v>1</v>
      </c>
      <c r="L293" s="3">
        <v>0</v>
      </c>
      <c r="M293" s="3">
        <v>3</v>
      </c>
      <c r="N293">
        <v>0</v>
      </c>
      <c r="O293" s="3">
        <f t="shared" si="29"/>
        <v>-2.2644476780000016</v>
      </c>
      <c r="P293" s="3">
        <f t="shared" si="30"/>
        <v>9.4110502739756949E-2</v>
      </c>
      <c r="Q293" s="3">
        <f t="shared" si="31"/>
        <v>0</v>
      </c>
      <c r="R293" s="3">
        <f t="shared" si="32"/>
        <v>0</v>
      </c>
    </row>
    <row r="294" spans="1:18" x14ac:dyDescent="0.25">
      <c r="A294" s="3">
        <v>57</v>
      </c>
      <c r="B294" s="3">
        <v>1</v>
      </c>
      <c r="C294" s="3">
        <v>2</v>
      </c>
      <c r="D294" s="3">
        <v>124</v>
      </c>
      <c r="E294" s="3">
        <v>261</v>
      </c>
      <c r="F294" s="3">
        <v>0</v>
      </c>
      <c r="G294" s="3">
        <v>0</v>
      </c>
      <c r="H294" s="3">
        <v>141</v>
      </c>
      <c r="I294" s="3">
        <v>0</v>
      </c>
      <c r="J294" s="3">
        <v>0.3</v>
      </c>
      <c r="K294" s="3">
        <v>1</v>
      </c>
      <c r="L294" s="3">
        <v>0</v>
      </c>
      <c r="M294" s="3">
        <v>7</v>
      </c>
      <c r="N294">
        <v>1</v>
      </c>
      <c r="O294" s="3">
        <f t="shared" si="29"/>
        <v>-2.2251722185000009</v>
      </c>
      <c r="P294" s="3">
        <f t="shared" si="30"/>
        <v>9.7512680080692679E-2</v>
      </c>
      <c r="Q294" s="3">
        <f t="shared" si="31"/>
        <v>0</v>
      </c>
      <c r="R294" s="3">
        <f t="shared" si="32"/>
        <v>1</v>
      </c>
    </row>
    <row r="295" spans="1:18" x14ac:dyDescent="0.25">
      <c r="A295" s="3">
        <v>44</v>
      </c>
      <c r="B295" s="3">
        <v>0</v>
      </c>
      <c r="C295" s="3">
        <v>3</v>
      </c>
      <c r="D295" s="3">
        <v>118</v>
      </c>
      <c r="E295" s="3">
        <v>242</v>
      </c>
      <c r="F295" s="3">
        <v>0</v>
      </c>
      <c r="G295" s="3">
        <v>0</v>
      </c>
      <c r="H295" s="3">
        <v>149</v>
      </c>
      <c r="I295" s="3">
        <v>0</v>
      </c>
      <c r="J295" s="3">
        <v>0.3</v>
      </c>
      <c r="K295" s="3">
        <v>2</v>
      </c>
      <c r="L295" s="3">
        <v>1</v>
      </c>
      <c r="M295" s="3">
        <v>3</v>
      </c>
      <c r="N295">
        <v>0</v>
      </c>
      <c r="O295" s="3">
        <f t="shared" si="29"/>
        <v>-1.507390108500001</v>
      </c>
      <c r="P295" s="3">
        <f t="shared" si="30"/>
        <v>0.1813259010631329</v>
      </c>
      <c r="Q295" s="3">
        <f t="shared" si="31"/>
        <v>0</v>
      </c>
      <c r="R295" s="3">
        <f t="shared" si="32"/>
        <v>0</v>
      </c>
    </row>
    <row r="296" spans="1:18" x14ac:dyDescent="0.25">
      <c r="A296" s="3">
        <v>44</v>
      </c>
      <c r="B296" s="3">
        <v>1</v>
      </c>
      <c r="C296" s="3">
        <v>3</v>
      </c>
      <c r="D296" s="3">
        <v>120</v>
      </c>
      <c r="E296" s="3">
        <v>226</v>
      </c>
      <c r="F296" s="3">
        <v>0</v>
      </c>
      <c r="G296" s="3">
        <v>0</v>
      </c>
      <c r="H296" s="3">
        <v>169</v>
      </c>
      <c r="I296" s="3">
        <v>0</v>
      </c>
      <c r="J296" s="3">
        <v>0</v>
      </c>
      <c r="K296" s="3">
        <v>1</v>
      </c>
      <c r="L296" s="3">
        <v>0</v>
      </c>
      <c r="M296" s="3">
        <v>3</v>
      </c>
      <c r="N296">
        <v>0</v>
      </c>
      <c r="O296" s="3">
        <f t="shared" si="29"/>
        <v>-3.3256446900000007</v>
      </c>
      <c r="P296" s="3">
        <f t="shared" si="30"/>
        <v>3.470182747946178E-2</v>
      </c>
      <c r="Q296" s="3">
        <f t="shared" si="31"/>
        <v>0</v>
      </c>
      <c r="R296" s="3">
        <f t="shared" si="32"/>
        <v>0</v>
      </c>
    </row>
    <row r="297" spans="1:18" x14ac:dyDescent="0.25">
      <c r="A297" s="3">
        <v>46</v>
      </c>
      <c r="B297" s="3">
        <v>1</v>
      </c>
      <c r="C297" s="3">
        <v>4</v>
      </c>
      <c r="D297" s="3">
        <v>140</v>
      </c>
      <c r="E297" s="3">
        <v>311</v>
      </c>
      <c r="F297" s="3">
        <v>0</v>
      </c>
      <c r="G297" s="3">
        <v>0</v>
      </c>
      <c r="H297" s="3">
        <v>120</v>
      </c>
      <c r="I297" s="3">
        <v>1</v>
      </c>
      <c r="J297" s="3">
        <v>1.8</v>
      </c>
      <c r="K297" s="3">
        <v>2</v>
      </c>
      <c r="L297" s="3">
        <v>2</v>
      </c>
      <c r="M297" s="3">
        <v>7</v>
      </c>
      <c r="N297">
        <v>1</v>
      </c>
      <c r="O297" s="3">
        <f t="shared" si="29"/>
        <v>5.3650041579999979</v>
      </c>
      <c r="P297" s="3">
        <f t="shared" si="30"/>
        <v>0.9953443358019135</v>
      </c>
      <c r="Q297" s="3">
        <f t="shared" si="31"/>
        <v>1</v>
      </c>
      <c r="R297" s="3">
        <f t="shared" si="32"/>
        <v>0</v>
      </c>
    </row>
    <row r="298" spans="1:18" x14ac:dyDescent="0.25">
      <c r="A298" s="3">
        <v>59</v>
      </c>
      <c r="B298" s="3">
        <v>1</v>
      </c>
      <c r="C298" s="3">
        <v>1</v>
      </c>
      <c r="D298" s="3">
        <v>134</v>
      </c>
      <c r="E298" s="3">
        <v>204</v>
      </c>
      <c r="F298" s="3">
        <v>0</v>
      </c>
      <c r="G298" s="3">
        <v>0</v>
      </c>
      <c r="H298" s="3">
        <v>162</v>
      </c>
      <c r="I298" s="3">
        <v>0</v>
      </c>
      <c r="J298" s="3">
        <v>0.8</v>
      </c>
      <c r="K298" s="3">
        <v>1</v>
      </c>
      <c r="L298" s="3">
        <v>2</v>
      </c>
      <c r="M298" s="3">
        <v>3</v>
      </c>
      <c r="N298">
        <v>1</v>
      </c>
      <c r="O298" s="3">
        <f t="shared" si="29"/>
        <v>-1.6419049810000015</v>
      </c>
      <c r="P298" s="3">
        <f t="shared" si="30"/>
        <v>0.16220601814305943</v>
      </c>
      <c r="Q298" s="3">
        <f t="shared" si="31"/>
        <v>0</v>
      </c>
      <c r="R298" s="3">
        <f t="shared" si="32"/>
        <v>1</v>
      </c>
    </row>
    <row r="299" spans="1:18" x14ac:dyDescent="0.25">
      <c r="A299" s="3">
        <v>64</v>
      </c>
      <c r="B299" s="3">
        <v>1</v>
      </c>
      <c r="C299" s="3">
        <v>1</v>
      </c>
      <c r="D299" s="3">
        <v>170</v>
      </c>
      <c r="E299" s="3">
        <v>227</v>
      </c>
      <c r="F299" s="3">
        <v>0</v>
      </c>
      <c r="G299" s="3">
        <v>2</v>
      </c>
      <c r="H299" s="3">
        <v>155</v>
      </c>
      <c r="I299" s="3">
        <v>0</v>
      </c>
      <c r="J299" s="3">
        <v>0.6</v>
      </c>
      <c r="K299" s="3">
        <v>2</v>
      </c>
      <c r="L299" s="3">
        <v>0</v>
      </c>
      <c r="M299" s="3">
        <v>7</v>
      </c>
      <c r="N299">
        <v>0</v>
      </c>
      <c r="O299" s="3">
        <f t="shared" si="29"/>
        <v>-0.68850192100000029</v>
      </c>
      <c r="P299" s="3">
        <f t="shared" si="30"/>
        <v>0.33436641119699734</v>
      </c>
      <c r="Q299" s="3">
        <f t="shared" si="31"/>
        <v>0</v>
      </c>
      <c r="R299" s="3">
        <f t="shared" si="32"/>
        <v>0</v>
      </c>
    </row>
    <row r="300" spans="1:18" x14ac:dyDescent="0.25">
      <c r="A300" s="3">
        <v>57</v>
      </c>
      <c r="B300" s="3">
        <v>1</v>
      </c>
      <c r="C300" s="3">
        <v>2</v>
      </c>
      <c r="D300" s="3">
        <v>154</v>
      </c>
      <c r="E300" s="3">
        <v>232</v>
      </c>
      <c r="F300" s="3">
        <v>0</v>
      </c>
      <c r="G300" s="3">
        <v>2</v>
      </c>
      <c r="H300" s="3">
        <v>164</v>
      </c>
      <c r="I300" s="3">
        <v>0</v>
      </c>
      <c r="J300" s="3">
        <v>0</v>
      </c>
      <c r="K300" s="3">
        <v>1</v>
      </c>
      <c r="L300" s="3">
        <v>1</v>
      </c>
      <c r="M300" s="3">
        <v>3</v>
      </c>
      <c r="N300">
        <v>1</v>
      </c>
      <c r="O300" s="3">
        <f t="shared" si="29"/>
        <v>-1.2494981570000014</v>
      </c>
      <c r="P300" s="3">
        <f t="shared" si="30"/>
        <v>0.22278702233990011</v>
      </c>
      <c r="Q300" s="3">
        <f t="shared" si="31"/>
        <v>0</v>
      </c>
      <c r="R300" s="3">
        <f t="shared" si="32"/>
        <v>1</v>
      </c>
    </row>
    <row r="301" spans="1:18" x14ac:dyDescent="0.25">
      <c r="A301" s="3">
        <v>47</v>
      </c>
      <c r="B301" s="3">
        <v>1</v>
      </c>
      <c r="C301" s="3">
        <v>3</v>
      </c>
      <c r="D301" s="3">
        <v>130</v>
      </c>
      <c r="E301" s="3">
        <v>253</v>
      </c>
      <c r="F301" s="3">
        <v>0</v>
      </c>
      <c r="G301" s="3">
        <v>0</v>
      </c>
      <c r="H301" s="3">
        <v>179</v>
      </c>
      <c r="I301" s="3">
        <v>0</v>
      </c>
      <c r="J301" s="3">
        <v>0</v>
      </c>
      <c r="K301" s="3">
        <v>1</v>
      </c>
      <c r="L301" s="3">
        <v>0</v>
      </c>
      <c r="M301" s="3">
        <v>3</v>
      </c>
      <c r="N301">
        <v>0</v>
      </c>
      <c r="O301" s="3">
        <f t="shared" si="29"/>
        <v>-3.1938350740000008</v>
      </c>
      <c r="P301" s="3">
        <f t="shared" si="30"/>
        <v>3.9398380112326235E-2</v>
      </c>
      <c r="Q301" s="3">
        <f t="shared" si="31"/>
        <v>0</v>
      </c>
      <c r="R301" s="3">
        <f t="shared" si="32"/>
        <v>0</v>
      </c>
    </row>
    <row r="302" spans="1:18" x14ac:dyDescent="0.25">
      <c r="A302" s="3">
        <v>35</v>
      </c>
      <c r="B302" s="3">
        <v>1</v>
      </c>
      <c r="C302" s="3">
        <v>2</v>
      </c>
      <c r="D302" s="3">
        <v>122</v>
      </c>
      <c r="E302" s="3">
        <v>192</v>
      </c>
      <c r="F302" s="3">
        <v>0</v>
      </c>
      <c r="G302" s="3">
        <v>0</v>
      </c>
      <c r="H302" s="3">
        <v>174</v>
      </c>
      <c r="I302" s="3">
        <v>0</v>
      </c>
      <c r="J302" s="3">
        <v>0</v>
      </c>
      <c r="K302" s="3">
        <v>1</v>
      </c>
      <c r="L302" s="3">
        <v>0</v>
      </c>
      <c r="M302" s="3">
        <v>3</v>
      </c>
      <c r="N302">
        <v>0</v>
      </c>
      <c r="O302" s="3">
        <f t="shared" si="29"/>
        <v>-4.1856451000000021</v>
      </c>
      <c r="P302" s="3">
        <f t="shared" si="30"/>
        <v>1.4984440127456871E-2</v>
      </c>
      <c r="Q302" s="3">
        <f t="shared" si="31"/>
        <v>0</v>
      </c>
      <c r="R302" s="3">
        <f t="shared" si="32"/>
        <v>0</v>
      </c>
    </row>
    <row r="303" spans="1:18" x14ac:dyDescent="0.25">
      <c r="A303" s="3">
        <v>56</v>
      </c>
      <c r="B303" s="3">
        <v>1</v>
      </c>
      <c r="C303" s="3">
        <v>2</v>
      </c>
      <c r="D303" s="3">
        <v>130</v>
      </c>
      <c r="E303" s="3">
        <v>221</v>
      </c>
      <c r="F303" s="3">
        <v>0</v>
      </c>
      <c r="G303" s="3">
        <v>2</v>
      </c>
      <c r="H303" s="3">
        <v>163</v>
      </c>
      <c r="I303" s="3">
        <v>0</v>
      </c>
      <c r="J303" s="3">
        <v>0</v>
      </c>
      <c r="K303" s="3">
        <v>1</v>
      </c>
      <c r="L303" s="3">
        <v>0</v>
      </c>
      <c r="M303" s="3">
        <v>7</v>
      </c>
      <c r="N303">
        <v>0</v>
      </c>
      <c r="O303" s="3">
        <f t="shared" si="29"/>
        <v>-2.1795041680000011</v>
      </c>
      <c r="P303" s="3">
        <f t="shared" si="30"/>
        <v>0.10160617967490661</v>
      </c>
      <c r="Q303" s="3">
        <f t="shared" si="31"/>
        <v>0</v>
      </c>
      <c r="R303" s="3">
        <f t="shared" si="32"/>
        <v>0</v>
      </c>
    </row>
    <row r="304" spans="1:18" x14ac:dyDescent="0.25">
      <c r="A304" s="3">
        <v>56</v>
      </c>
      <c r="B304" s="3">
        <v>1</v>
      </c>
      <c r="C304" s="3">
        <v>2</v>
      </c>
      <c r="D304" s="3">
        <v>120</v>
      </c>
      <c r="E304" s="3">
        <v>240</v>
      </c>
      <c r="F304" s="3">
        <v>0</v>
      </c>
      <c r="G304" s="3">
        <v>0</v>
      </c>
      <c r="H304" s="3">
        <v>169</v>
      </c>
      <c r="I304" s="3">
        <v>0</v>
      </c>
      <c r="J304" s="3">
        <v>0</v>
      </c>
      <c r="K304" s="3">
        <v>3</v>
      </c>
      <c r="L304" s="3">
        <v>0</v>
      </c>
      <c r="M304" s="3">
        <v>3</v>
      </c>
      <c r="N304">
        <v>0</v>
      </c>
      <c r="O304" s="3">
        <f t="shared" si="29"/>
        <v>-2.543937777</v>
      </c>
      <c r="P304" s="3">
        <f t="shared" si="30"/>
        <v>7.2834808036135401E-2</v>
      </c>
      <c r="Q304" s="3">
        <f t="shared" si="31"/>
        <v>0</v>
      </c>
      <c r="R304" s="3">
        <f t="shared" si="32"/>
        <v>0</v>
      </c>
    </row>
    <row r="305" spans="1:18" x14ac:dyDescent="0.25">
      <c r="A305" s="3">
        <v>63</v>
      </c>
      <c r="B305" s="3">
        <v>1</v>
      </c>
      <c r="C305" s="3">
        <v>4</v>
      </c>
      <c r="D305" s="3">
        <v>140</v>
      </c>
      <c r="E305" s="3">
        <v>187</v>
      </c>
      <c r="F305" s="3">
        <v>0</v>
      </c>
      <c r="G305" s="3">
        <v>2</v>
      </c>
      <c r="H305" s="3">
        <v>144</v>
      </c>
      <c r="I305" s="3">
        <v>1</v>
      </c>
      <c r="J305" s="3">
        <v>4</v>
      </c>
      <c r="K305" s="3">
        <v>1</v>
      </c>
      <c r="L305" s="3">
        <v>2</v>
      </c>
      <c r="M305" s="3">
        <v>7</v>
      </c>
      <c r="N305">
        <v>1</v>
      </c>
      <c r="O305" s="3">
        <f t="shared" si="29"/>
        <v>4.4862977850000014</v>
      </c>
      <c r="P305" s="3">
        <f t="shared" si="30"/>
        <v>0.98886316392842033</v>
      </c>
      <c r="Q305" s="3">
        <f t="shared" si="31"/>
        <v>1</v>
      </c>
      <c r="R305" s="3">
        <f t="shared" si="32"/>
        <v>0</v>
      </c>
    </row>
    <row r="306" spans="1:18" x14ac:dyDescent="0.25">
      <c r="A306" s="3">
        <v>45</v>
      </c>
      <c r="B306" s="3">
        <v>1</v>
      </c>
      <c r="C306" s="3">
        <v>1</v>
      </c>
      <c r="D306" s="3">
        <v>110</v>
      </c>
      <c r="E306" s="3">
        <v>264</v>
      </c>
      <c r="F306" s="3">
        <v>0</v>
      </c>
      <c r="G306" s="3">
        <v>0</v>
      </c>
      <c r="H306" s="3">
        <v>132</v>
      </c>
      <c r="I306" s="3">
        <v>0</v>
      </c>
      <c r="J306" s="3">
        <v>1.2</v>
      </c>
      <c r="K306" s="3">
        <v>2</v>
      </c>
      <c r="L306" s="3">
        <v>0</v>
      </c>
      <c r="M306" s="3">
        <v>7</v>
      </c>
      <c r="N306">
        <v>1</v>
      </c>
      <c r="O306" s="3">
        <f t="shared" si="29"/>
        <v>-2.0988796600000015</v>
      </c>
      <c r="P306" s="3">
        <f t="shared" si="30"/>
        <v>0.10920576000894505</v>
      </c>
      <c r="Q306" s="3">
        <f t="shared" si="31"/>
        <v>0</v>
      </c>
      <c r="R306" s="3">
        <f t="shared" si="32"/>
        <v>1</v>
      </c>
    </row>
  </sheetData>
  <mergeCells count="1">
    <mergeCell ref="A223:M2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LR-log-likelihoods</vt:lpstr>
      <vt:lpstr>LR-log-loss</vt:lpstr>
      <vt:lpstr>'LR-log-likelihoods'!Heart_disease_processed_cleveland___Copy</vt:lpstr>
      <vt:lpstr>'LR-log-loss'!Heart_disease_processed_cleveland___Copy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2025-11-27T12:57:44Z</dcterms:modified>
</cp:coreProperties>
</file>