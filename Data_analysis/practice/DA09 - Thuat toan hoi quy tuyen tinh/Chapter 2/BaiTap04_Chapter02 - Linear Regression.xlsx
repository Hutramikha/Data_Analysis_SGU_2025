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AF2A938C-FA5D-4282-9480-7D3E8BAFCE87}" xr6:coauthVersionLast="47" xr6:coauthVersionMax="47" xr10:uidLastSave="{00000000-0000-0000-0000-000000000000}"/>
  <bookViews>
    <workbookView xWindow="-108" yWindow="-108" windowWidth="23256" windowHeight="12456" xr2:uid="{741366CF-A5F5-469A-B057-95EFD64B0575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4" i="1" l="1"/>
  <c r="C44" i="1"/>
  <c r="D36" i="1"/>
  <c r="D37" i="1"/>
  <c r="D35" i="1"/>
  <c r="D25" i="1"/>
  <c r="D26" i="1"/>
  <c r="D27" i="1"/>
  <c r="D28" i="1"/>
  <c r="D29" i="1"/>
  <c r="D30" i="1"/>
  <c r="D31" i="1" s="1"/>
  <c r="C16" i="2"/>
  <c r="C15" i="2"/>
  <c r="E4" i="2" s="1"/>
  <c r="F4" i="2" s="1"/>
  <c r="C14" i="2"/>
  <c r="C13" i="2"/>
  <c r="E7" i="2" l="1"/>
  <c r="F7" i="2" s="1"/>
  <c r="E8" i="2"/>
  <c r="F8" i="2" s="1"/>
  <c r="E5" i="2"/>
  <c r="F5" i="2" s="1"/>
  <c r="E13" i="2" s="1"/>
  <c r="E6" i="2"/>
  <c r="F6" i="2" s="1"/>
  <c r="E9" i="2"/>
  <c r="F9" i="2" s="1"/>
  <c r="E10" i="2"/>
  <c r="F10" i="2" s="1"/>
  <c r="E11" i="2"/>
  <c r="F11" i="2" s="1"/>
</calcChain>
</file>

<file path=xl/sharedStrings.xml><?xml version="1.0" encoding="utf-8"?>
<sst xmlns="http://schemas.openxmlformats.org/spreadsheetml/2006/main" count="32" uniqueCount="25">
  <si>
    <t>Ice Cream Sale (Thousands of Dollars)</t>
  </si>
  <si>
    <t>Temperature (F)</t>
  </si>
  <si>
    <t>Tourists</t>
  </si>
  <si>
    <t>Sunny Days</t>
  </si>
  <si>
    <t>Ice Cream Sale (dollar in thousand)</t>
  </si>
  <si>
    <t>Temperature</t>
  </si>
  <si>
    <t>Y-intercept</t>
  </si>
  <si>
    <t>Predicted</t>
  </si>
  <si>
    <t>Error</t>
  </si>
  <si>
    <t>Sum of Errors</t>
  </si>
  <si>
    <t>HỒI QUY TUYẾN TÍNH BỘI (3 biến x → y)</t>
  </si>
  <si>
    <t>HỒI QUY TUYẾN TÍNH BỘI (1 biến x-&gt;y)</t>
  </si>
  <si>
    <t>Cách 1: Tính theo công thức (Least Square) – dùng SUM, SUMPRODUCT</t>
  </si>
  <si>
    <t>x</t>
  </si>
  <si>
    <t>y</t>
  </si>
  <si>
    <t>SUM(Y)</t>
  </si>
  <si>
    <t>SUM(X)</t>
  </si>
  <si>
    <t>SUM(XY)</t>
  </si>
  <si>
    <t>SUM(X^2)</t>
  </si>
  <si>
    <t>n</t>
  </si>
  <si>
    <t>m</t>
  </si>
  <si>
    <t>b</t>
  </si>
  <si>
    <t>Scorting Data</t>
  </si>
  <si>
    <t>Prediction</t>
  </si>
  <si>
    <t>Cách 2: Dùng hàm SLOPE và INTERCEPT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</si>
</sst>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Sheet1!$B$2</c:f>
              <c:strCache>
                <c:ptCount val="1"/>
                <c:pt idx="0">
                  <c:v>Ice Cream Sale (Thousands of Dollars)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3.1555118110236223E-2"/>
                  <c:y val="-3.158610382035578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Sheet1!$A$3:$A$10</c:f>
              <c:numCache>
                <c:formatCode>General</c:formatCode>
                <c:ptCount val="8"/>
                <c:pt idx="0">
                  <c:v>91</c:v>
                </c:pt>
                <c:pt idx="1">
                  <c:v>87</c:v>
                </c:pt>
                <c:pt idx="2">
                  <c:v>86</c:v>
                </c:pt>
                <c:pt idx="3">
                  <c:v>88</c:v>
                </c:pt>
                <c:pt idx="4">
                  <c:v>92.8</c:v>
                </c:pt>
                <c:pt idx="5">
                  <c:v>95.2</c:v>
                </c:pt>
                <c:pt idx="6">
                  <c:v>93.3</c:v>
                </c:pt>
                <c:pt idx="7">
                  <c:v>97.7</c:v>
                </c:pt>
              </c:numCache>
            </c:numRef>
          </c:xVal>
          <c:yVal>
            <c:numRef>
              <c:f>Sheet1!$B$3:$B$10</c:f>
              <c:numCache>
                <c:formatCode>General</c:formatCode>
                <c:ptCount val="8"/>
                <c:pt idx="0">
                  <c:v>89.8</c:v>
                </c:pt>
                <c:pt idx="1">
                  <c:v>90.2</c:v>
                </c:pt>
                <c:pt idx="2">
                  <c:v>81.099999999999994</c:v>
                </c:pt>
                <c:pt idx="3">
                  <c:v>83</c:v>
                </c:pt>
                <c:pt idx="4">
                  <c:v>90.9</c:v>
                </c:pt>
                <c:pt idx="5">
                  <c:v>119</c:v>
                </c:pt>
                <c:pt idx="6">
                  <c:v>94.9</c:v>
                </c:pt>
                <c:pt idx="7">
                  <c:v>132.4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16F-486B-A032-DF1134C3CD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9200415"/>
        <c:axId val="799207679"/>
      </c:scatterChart>
      <c:valAx>
        <c:axId val="7992004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Temperature (F)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9207679"/>
        <c:crosses val="autoZero"/>
        <c:crossBetween val="midCat"/>
      </c:valAx>
      <c:valAx>
        <c:axId val="799207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92004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7620</xdr:colOff>
      <xdr:row>0</xdr:row>
      <xdr:rowOff>476250</xdr:rowOff>
    </xdr:from>
    <xdr:to>
      <xdr:col>16</xdr:col>
      <xdr:colOff>152400</xdr:colOff>
      <xdr:row>20</xdr:row>
      <xdr:rowOff>7620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12BEEAE-07A6-26E7-FFD8-22F329356C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863D4-9FAA-4637-8A49-85FC91B6DB91}">
  <dimension ref="A1:E51"/>
  <sheetViews>
    <sheetView tabSelected="1" topLeftCell="A13" workbookViewId="0">
      <selection activeCell="E16" sqref="E16"/>
    </sheetView>
  </sheetViews>
  <sheetFormatPr defaultRowHeight="14.4" x14ac:dyDescent="0.3"/>
  <cols>
    <col min="1" max="1" width="17" customWidth="1"/>
    <col min="2" max="2" width="24.44140625" customWidth="1"/>
    <col min="3" max="3" width="18.5546875" customWidth="1"/>
    <col min="4" max="4" width="18.44140625" customWidth="1"/>
    <col min="5" max="6" width="17.88671875" customWidth="1"/>
  </cols>
  <sheetData>
    <row r="1" spans="1:4" ht="38.4" customHeight="1" x14ac:dyDescent="0.3">
      <c r="A1" s="4" t="s">
        <v>11</v>
      </c>
      <c r="B1" s="4"/>
      <c r="C1" s="4"/>
      <c r="D1" s="4"/>
    </row>
    <row r="2" spans="1:4" ht="28.8" x14ac:dyDescent="0.3">
      <c r="A2" s="1" t="s">
        <v>1</v>
      </c>
      <c r="B2" s="1" t="s">
        <v>0</v>
      </c>
    </row>
    <row r="3" spans="1:4" x14ac:dyDescent="0.3">
      <c r="A3" s="2">
        <v>91</v>
      </c>
      <c r="B3" s="2">
        <v>89.8</v>
      </c>
    </row>
    <row r="4" spans="1:4" x14ac:dyDescent="0.3">
      <c r="A4" s="2">
        <v>87</v>
      </c>
      <c r="B4" s="2">
        <v>90.2</v>
      </c>
    </row>
    <row r="5" spans="1:4" x14ac:dyDescent="0.3">
      <c r="A5" s="2">
        <v>86</v>
      </c>
      <c r="B5" s="2">
        <v>81.099999999999994</v>
      </c>
    </row>
    <row r="6" spans="1:4" x14ac:dyDescent="0.3">
      <c r="A6" s="2">
        <v>88</v>
      </c>
      <c r="B6" s="2">
        <v>83</v>
      </c>
    </row>
    <row r="7" spans="1:4" x14ac:dyDescent="0.3">
      <c r="A7" s="2">
        <v>92.8</v>
      </c>
      <c r="B7" s="2">
        <v>90.9</v>
      </c>
    </row>
    <row r="8" spans="1:4" x14ac:dyDescent="0.3">
      <c r="A8" s="2">
        <v>95.2</v>
      </c>
      <c r="B8" s="2">
        <v>119</v>
      </c>
    </row>
    <row r="9" spans="1:4" x14ac:dyDescent="0.3">
      <c r="A9" s="2">
        <v>93.3</v>
      </c>
      <c r="B9" s="2">
        <v>94.9</v>
      </c>
    </row>
    <row r="10" spans="1:4" x14ac:dyDescent="0.3">
      <c r="A10" s="2">
        <v>97.7</v>
      </c>
      <c r="B10" s="2">
        <v>132.4</v>
      </c>
    </row>
    <row r="23" spans="1:5" ht="21" x14ac:dyDescent="0.3">
      <c r="A23" s="4" t="s">
        <v>12</v>
      </c>
      <c r="B23" s="4"/>
      <c r="C23" s="4"/>
      <c r="D23" s="4"/>
      <c r="E23" s="4"/>
    </row>
    <row r="24" spans="1:5" x14ac:dyDescent="0.3">
      <c r="A24" s="5" t="s">
        <v>13</v>
      </c>
      <c r="B24" s="6" t="s">
        <v>14</v>
      </c>
    </row>
    <row r="25" spans="1:5" x14ac:dyDescent="0.3">
      <c r="A25" s="2">
        <v>91</v>
      </c>
      <c r="B25" s="2">
        <v>89.8</v>
      </c>
      <c r="C25" s="6" t="s">
        <v>16</v>
      </c>
      <c r="D25">
        <f>SUM(A25:A32)</f>
        <v>731</v>
      </c>
    </row>
    <row r="26" spans="1:5" x14ac:dyDescent="0.3">
      <c r="A26" s="2">
        <v>87</v>
      </c>
      <c r="B26" s="2">
        <v>90.2</v>
      </c>
      <c r="C26" s="6" t="s">
        <v>15</v>
      </c>
      <c r="D26">
        <f>SUM(B25:B32)</f>
        <v>781.3</v>
      </c>
    </row>
    <row r="27" spans="1:5" x14ac:dyDescent="0.3">
      <c r="A27" s="2">
        <v>86</v>
      </c>
      <c r="B27" s="2">
        <v>81.099999999999994</v>
      </c>
      <c r="C27" s="6" t="s">
        <v>17</v>
      </c>
      <c r="D27">
        <f>SUMPRODUCT(A25:A32, B25:B32)</f>
        <v>71851.77</v>
      </c>
    </row>
    <row r="28" spans="1:5" x14ac:dyDescent="0.3">
      <c r="A28" s="2">
        <v>88</v>
      </c>
      <c r="B28" s="2">
        <v>83</v>
      </c>
      <c r="C28" s="6" t="s">
        <v>18</v>
      </c>
      <c r="D28">
        <f>SUMPRODUCT(A25:A32, A25:A32)</f>
        <v>66915.06</v>
      </c>
    </row>
    <row r="29" spans="1:5" x14ac:dyDescent="0.3">
      <c r="A29" s="2">
        <v>92.8</v>
      </c>
      <c r="B29" s="2">
        <v>90.9</v>
      </c>
      <c r="C29" s="6" t="s">
        <v>19</v>
      </c>
      <c r="D29">
        <f>COUNT(A25:A32)</f>
        <v>8</v>
      </c>
    </row>
    <row r="30" spans="1:5" x14ac:dyDescent="0.3">
      <c r="A30" s="2">
        <v>95.2</v>
      </c>
      <c r="B30" s="2">
        <v>119</v>
      </c>
      <c r="C30" s="6" t="s">
        <v>20</v>
      </c>
      <c r="D30">
        <f>(D29*D27 - D25*D26) / (D29*D28 - D25^2)</f>
        <v>3.8394338600076852</v>
      </c>
    </row>
    <row r="31" spans="1:5" x14ac:dyDescent="0.3">
      <c r="A31" s="2">
        <v>93.3</v>
      </c>
      <c r="B31" s="2">
        <v>94.9</v>
      </c>
      <c r="C31" s="6" t="s">
        <v>21</v>
      </c>
      <c r="D31">
        <f>(D26 - D30*D25) / D29</f>
        <v>-253.16576895820222</v>
      </c>
    </row>
    <row r="32" spans="1:5" x14ac:dyDescent="0.3">
      <c r="A32" s="2">
        <v>97.7</v>
      </c>
      <c r="B32" s="2">
        <v>132.4</v>
      </c>
      <c r="C32" s="6"/>
    </row>
    <row r="34" spans="1:4" x14ac:dyDescent="0.3">
      <c r="C34" s="6" t="s">
        <v>22</v>
      </c>
      <c r="D34" s="5" t="s">
        <v>23</v>
      </c>
    </row>
    <row r="35" spans="1:4" x14ac:dyDescent="0.3">
      <c r="C35" s="5">
        <v>88.8</v>
      </c>
      <c r="D35">
        <f>$D$30*C35 + $D$31</f>
        <v>87.775957810480207</v>
      </c>
    </row>
    <row r="36" spans="1:4" x14ac:dyDescent="0.3">
      <c r="C36" s="5">
        <v>96.9</v>
      </c>
      <c r="D36">
        <f t="shared" ref="D36:D37" si="0">$D$30*C36 + $D$31</f>
        <v>118.8753720765425</v>
      </c>
    </row>
    <row r="37" spans="1:4" x14ac:dyDescent="0.3">
      <c r="C37" s="5">
        <v>94.7</v>
      </c>
      <c r="D37">
        <f t="shared" si="0"/>
        <v>110.4286175845256</v>
      </c>
    </row>
    <row r="42" spans="1:4" ht="21" x14ac:dyDescent="0.3">
      <c r="A42" s="4" t="s">
        <v>24</v>
      </c>
      <c r="B42" s="4"/>
      <c r="C42" s="4"/>
      <c r="D42" s="4"/>
    </row>
    <row r="43" spans="1:4" x14ac:dyDescent="0.3">
      <c r="A43" s="5" t="s">
        <v>13</v>
      </c>
      <c r="B43" s="6" t="s">
        <v>14</v>
      </c>
      <c r="C43" s="5" t="s">
        <v>20</v>
      </c>
      <c r="D43" s="5" t="s">
        <v>21</v>
      </c>
    </row>
    <row r="44" spans="1:4" x14ac:dyDescent="0.3">
      <c r="A44" s="2">
        <v>91</v>
      </c>
      <c r="B44" s="2">
        <v>89.8</v>
      </c>
      <c r="C44">
        <f>SLOPE(B44:B51, A44:A51)</f>
        <v>3.8394338600075053</v>
      </c>
      <c r="D44">
        <f>INTERCEPT(B44:B51, A44:A51)</f>
        <v>-253.16576895818579</v>
      </c>
    </row>
    <row r="45" spans="1:4" x14ac:dyDescent="0.3">
      <c r="A45" s="2">
        <v>87</v>
      </c>
      <c r="B45" s="2">
        <v>90.2</v>
      </c>
    </row>
    <row r="46" spans="1:4" x14ac:dyDescent="0.3">
      <c r="A46" s="2">
        <v>86</v>
      </c>
      <c r="B46" s="2">
        <v>81.099999999999994</v>
      </c>
    </row>
    <row r="47" spans="1:4" x14ac:dyDescent="0.3">
      <c r="A47" s="2">
        <v>88</v>
      </c>
      <c r="B47" s="2">
        <v>83</v>
      </c>
    </row>
    <row r="48" spans="1:4" x14ac:dyDescent="0.3">
      <c r="A48" s="2">
        <v>92.8</v>
      </c>
      <c r="B48" s="2">
        <v>90.9</v>
      </c>
    </row>
    <row r="49" spans="1:2" x14ac:dyDescent="0.3">
      <c r="A49" s="2">
        <v>95.2</v>
      </c>
      <c r="B49" s="2">
        <v>119</v>
      </c>
    </row>
    <row r="50" spans="1:2" x14ac:dyDescent="0.3">
      <c r="A50" s="2">
        <v>93.3</v>
      </c>
      <c r="B50" s="2">
        <v>94.9</v>
      </c>
    </row>
    <row r="51" spans="1:2" x14ac:dyDescent="0.3">
      <c r="A51" s="2">
        <v>97.7</v>
      </c>
      <c r="B51" s="2">
        <v>132.4</v>
      </c>
    </row>
  </sheetData>
  <mergeCells count="3">
    <mergeCell ref="A1:D1"/>
    <mergeCell ref="A23:E23"/>
    <mergeCell ref="A42:D42"/>
  </mergeCells>
  <pageMargins left="0.7" right="0.7" top="0.75" bottom="0.75" header="0.3" footer="0.3"/>
  <pageSetup orientation="portrait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3347E-65AD-4603-8952-3D4EA29DA5D1}">
  <dimension ref="A1:F16"/>
  <sheetViews>
    <sheetView workbookViewId="0">
      <selection sqref="A1:F2"/>
    </sheetView>
  </sheetViews>
  <sheetFormatPr defaultRowHeight="14.4" x14ac:dyDescent="0.3"/>
  <cols>
    <col min="1" max="1" width="17.88671875" customWidth="1"/>
    <col min="2" max="3" width="17.6640625" customWidth="1"/>
    <col min="4" max="4" width="35.5546875" customWidth="1"/>
    <col min="5" max="5" width="17.6640625" customWidth="1"/>
    <col min="6" max="6" width="17.88671875" customWidth="1"/>
  </cols>
  <sheetData>
    <row r="1" spans="1:6" ht="21" x14ac:dyDescent="0.3">
      <c r="A1" s="4" t="s">
        <v>10</v>
      </c>
      <c r="B1" s="4"/>
      <c r="C1" s="4"/>
      <c r="D1" s="4"/>
      <c r="E1" s="4"/>
      <c r="F1" s="4"/>
    </row>
    <row r="2" spans="1:6" ht="21" x14ac:dyDescent="0.3">
      <c r="A2" s="4"/>
      <c r="B2" s="4"/>
      <c r="C2" s="4"/>
      <c r="D2" s="4"/>
      <c r="E2" s="4"/>
      <c r="F2" s="4"/>
    </row>
    <row r="3" spans="1:6" x14ac:dyDescent="0.3">
      <c r="A3" s="3" t="s">
        <v>1</v>
      </c>
      <c r="B3" s="3" t="s">
        <v>2</v>
      </c>
      <c r="C3" s="3" t="s">
        <v>3</v>
      </c>
      <c r="D3" s="3" t="s">
        <v>4</v>
      </c>
      <c r="E3" s="3" t="s">
        <v>7</v>
      </c>
      <c r="F3" s="3" t="s">
        <v>8</v>
      </c>
    </row>
    <row r="4" spans="1:6" x14ac:dyDescent="0.3">
      <c r="A4">
        <v>91</v>
      </c>
      <c r="B4">
        <v>998</v>
      </c>
      <c r="C4">
        <v>4</v>
      </c>
      <c r="D4">
        <v>89.8</v>
      </c>
      <c r="E4">
        <f xml:space="preserve"> A4*$C$15 + B4*$C$14 + C4*$C$13 + $C$16</f>
        <v>88.770599892675023</v>
      </c>
      <c r="F4">
        <f>POWER(D4-E4, 2)</f>
        <v>1.0596645809606691</v>
      </c>
    </row>
    <row r="5" spans="1:6" x14ac:dyDescent="0.3">
      <c r="A5">
        <v>87</v>
      </c>
      <c r="B5">
        <v>1256</v>
      </c>
      <c r="C5">
        <v>7</v>
      </c>
      <c r="D5">
        <v>90.2</v>
      </c>
      <c r="E5">
        <f xml:space="preserve"> A5*$C$15 + B5*$C$14 + C5*$C$13 + $C$16</f>
        <v>90.390725606528406</v>
      </c>
      <c r="F5">
        <f>POWER(D5-E5, 2)</f>
        <v>3.6376256985627235E-2</v>
      </c>
    </row>
    <row r="6" spans="1:6" x14ac:dyDescent="0.3">
      <c r="A6">
        <v>86</v>
      </c>
      <c r="B6">
        <v>791</v>
      </c>
      <c r="C6">
        <v>6</v>
      </c>
      <c r="D6">
        <v>81.099999999999994</v>
      </c>
      <c r="E6">
        <f xml:space="preserve"> A6*$C$15 + B6*$C$14 + C6*$C$13 + $C$16</f>
        <v>81.08535834704594</v>
      </c>
      <c r="F6">
        <f>POWER(D6-E6, 2)</f>
        <v>2.1437800122697307E-4</v>
      </c>
    </row>
    <row r="7" spans="1:6" x14ac:dyDescent="0.3">
      <c r="A7">
        <v>88</v>
      </c>
      <c r="B7">
        <v>705</v>
      </c>
      <c r="C7">
        <v>5</v>
      </c>
      <c r="D7">
        <v>83</v>
      </c>
      <c r="E7">
        <f xml:space="preserve"> A7*$C$15 + B7*$C$14 + C7*$C$13 + $C$16</f>
        <v>83.195592678492687</v>
      </c>
      <c r="F7">
        <f>POWER(D7-E7, 2)</f>
        <v>3.8256495879943765E-2</v>
      </c>
    </row>
    <row r="8" spans="1:6" x14ac:dyDescent="0.3">
      <c r="A8">
        <v>92.8</v>
      </c>
      <c r="B8">
        <v>1089</v>
      </c>
      <c r="C8">
        <v>3</v>
      </c>
      <c r="D8">
        <v>90.9</v>
      </c>
      <c r="E8">
        <f xml:space="preserve"> A8*$C$15 + B8*$C$14 + C8*$C$13 + $C$16</f>
        <v>89.84727235480392</v>
      </c>
      <c r="F8">
        <f>POWER(D8-E8, 2)</f>
        <v>1.1082354949600961</v>
      </c>
    </row>
    <row r="9" spans="1:6" x14ac:dyDescent="0.3">
      <c r="A9">
        <v>95.2</v>
      </c>
      <c r="B9">
        <v>1135</v>
      </c>
      <c r="C9">
        <v>6</v>
      </c>
      <c r="D9">
        <v>119</v>
      </c>
      <c r="E9">
        <f xml:space="preserve"> A9*$C$15 + B9*$C$14 + C9*$C$13 + $C$16</f>
        <v>117.19568579748471</v>
      </c>
      <c r="F9">
        <f>POWER(D9-E9, 2)</f>
        <v>3.2555497413983727</v>
      </c>
    </row>
    <row r="10" spans="1:6" x14ac:dyDescent="0.3">
      <c r="A10">
        <v>93.3</v>
      </c>
      <c r="B10">
        <v>1076</v>
      </c>
      <c r="C10">
        <v>4</v>
      </c>
      <c r="D10">
        <v>94.9</v>
      </c>
      <c r="E10">
        <f xml:space="preserve"> A10*$C$15 + B10*$C$14 + C10*$C$13 + $C$16</f>
        <v>97.808960467081249</v>
      </c>
      <c r="F10">
        <f>POWER(D10-E10, 2)</f>
        <v>8.4620509990415265</v>
      </c>
    </row>
    <row r="11" spans="1:6" x14ac:dyDescent="0.3">
      <c r="A11">
        <v>97.7</v>
      </c>
      <c r="B11">
        <v>1198</v>
      </c>
      <c r="C11">
        <v>7</v>
      </c>
      <c r="D11">
        <v>132.4</v>
      </c>
      <c r="E11">
        <f xml:space="preserve"> A11*$C$15 + B11*$C$14 + C11*$C$13 + $C$16</f>
        <v>133.00580485588836</v>
      </c>
      <c r="F11">
        <f>POWER(D11-E11, 2)</f>
        <v>0.36699952341790609</v>
      </c>
    </row>
    <row r="13" spans="1:6" x14ac:dyDescent="0.3">
      <c r="A13" t="s">
        <v>3</v>
      </c>
      <c r="B13">
        <v>1</v>
      </c>
      <c r="C13">
        <f>INDEX(LINEST(D4:D11, A4:C11, TRUE, TRUE), 1, 1)</f>
        <v>5.9564655285595709</v>
      </c>
      <c r="D13" s="3" t="s">
        <v>9</v>
      </c>
      <c r="E13">
        <f>SUM(F4:F11)</f>
        <v>14.327347470645368</v>
      </c>
    </row>
    <row r="14" spans="1:6" x14ac:dyDescent="0.3">
      <c r="A14" t="s">
        <v>2</v>
      </c>
      <c r="B14">
        <v>2</v>
      </c>
      <c r="C14">
        <f>INDEX(LINEST(D4:D11, A4:C11, TRUE, TRUE), 1, 2)</f>
        <v>-1.3473389745675504E-3</v>
      </c>
    </row>
    <row r="15" spans="1:6" x14ac:dyDescent="0.3">
      <c r="A15" t="s">
        <v>5</v>
      </c>
      <c r="B15">
        <v>3</v>
      </c>
      <c r="C15">
        <f>INDEX(LINEST(D4:D11, A4:C11, TRUE, TRUE), 1, 3)</f>
        <v>3.9754143540967339</v>
      </c>
    </row>
    <row r="16" spans="1:6" x14ac:dyDescent="0.3">
      <c r="A16" t="s">
        <v>6</v>
      </c>
      <c r="B16">
        <v>4</v>
      </c>
      <c r="C16">
        <f>INDEX(LINEST(D4:D11, A4:C11, TRUE, TRUE), 1, 4)</f>
        <v>-295.47332414774763</v>
      </c>
    </row>
  </sheetData>
  <mergeCells count="1">
    <mergeCell ref="A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Tâm Nguyễn</dc:creator>
  <cp:lastModifiedBy>Tâm Nguyễn</cp:lastModifiedBy>
  <dcterms:created xsi:type="dcterms:W3CDTF">2025-11-25T09:55:03Z</dcterms:created>
  <dcterms:modified xsi:type="dcterms:W3CDTF">2025-11-26T02:17:04Z</dcterms:modified>
</cp:coreProperties>
</file>